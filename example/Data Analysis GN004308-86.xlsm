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takeda.sharepoint.com/sites/GeneTherapyAnalytics2/Freigegebene Dokumente/General/3_Teams/3.2_NAA/01_ddPCR+dPCR/02_Testungen/230901_GN004308-086_IDT-ITR/"/>
    </mc:Choice>
  </mc:AlternateContent>
  <xr:revisionPtr revIDLastSave="2111" documentId="13_ncr:1_{54F98665-0324-4732-B929-4F799EE61D7F}" xr6:coauthVersionLast="47" xr6:coauthVersionMax="47" xr10:uidLastSave="{0A7719E0-E355-4275-84C6-3AE77D44449F}"/>
  <bookViews>
    <workbookView xWindow="-120" yWindow="-120" windowWidth="29040" windowHeight="15840" xr2:uid="{779FF851-B1DD-4E9A-B4BD-9661C5791574}"/>
  </bookViews>
  <sheets>
    <sheet name="Auswertung" sheetId="2" r:id="rId1"/>
    <sheet name="Daten für DFM" sheetId="3" r:id="rId2"/>
    <sheet name="Eingaben" sheetId="5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6" i="2" l="1"/>
  <c r="G12" i="2" l="1"/>
  <c r="G74" i="2"/>
  <c r="G75" i="2"/>
  <c r="G76" i="2"/>
  <c r="G87" i="2"/>
  <c r="G88" i="2"/>
  <c r="G89" i="2"/>
  <c r="G90" i="2"/>
  <c r="G91" i="2"/>
  <c r="G92" i="2"/>
  <c r="G93" i="2"/>
  <c r="G94" i="2"/>
  <c r="E95" i="2"/>
  <c r="E78" i="2"/>
  <c r="E77" i="2"/>
  <c r="E96" i="2" l="1"/>
  <c r="G86" i="2" l="1"/>
  <c r="G85" i="2"/>
  <c r="G84" i="2"/>
  <c r="G83" i="2"/>
  <c r="G82" i="2"/>
  <c r="G81" i="2"/>
  <c r="G73" i="2"/>
  <c r="G72" i="2"/>
  <c r="G71" i="2"/>
  <c r="G70" i="2"/>
  <c r="G77" i="2" l="1"/>
  <c r="G95" i="2"/>
  <c r="E66" i="2" l="1"/>
  <c r="E67" i="2" s="1"/>
  <c r="G65" i="2"/>
  <c r="G64" i="2"/>
  <c r="G66" i="2" l="1"/>
  <c r="E60" i="2"/>
  <c r="E61" i="2" s="1"/>
  <c r="G59" i="2"/>
  <c r="G58" i="2"/>
  <c r="G60" i="2" l="1"/>
  <c r="T69" i="2" l="1"/>
  <c r="T68" i="2"/>
  <c r="T67" i="2"/>
  <c r="T66" i="2"/>
  <c r="T65" i="2"/>
  <c r="T62" i="2"/>
  <c r="T61" i="2"/>
  <c r="T60" i="2"/>
  <c r="T59" i="2"/>
  <c r="T58" i="2"/>
  <c r="V53" i="2" l="1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X28" i="2" l="1"/>
  <c r="X38" i="2"/>
  <c r="X32" i="2"/>
  <c r="W36" i="2"/>
  <c r="X44" i="2"/>
  <c r="X18" i="2"/>
  <c r="X12" i="2"/>
  <c r="X50" i="2"/>
  <c r="X22" i="2"/>
  <c r="X48" i="2"/>
  <c r="W52" i="2"/>
  <c r="X16" i="2"/>
  <c r="W20" i="2"/>
  <c r="X34" i="2"/>
  <c r="W22" i="2"/>
  <c r="W38" i="2"/>
  <c r="X14" i="2"/>
  <c r="X20" i="2"/>
  <c r="X26" i="2"/>
  <c r="X30" i="2"/>
  <c r="X36" i="2"/>
  <c r="X42" i="2"/>
  <c r="X46" i="2"/>
  <c r="X52" i="2"/>
  <c r="X10" i="2"/>
  <c r="W12" i="2"/>
  <c r="W14" i="2"/>
  <c r="X24" i="2"/>
  <c r="W28" i="2"/>
  <c r="W30" i="2"/>
  <c r="X40" i="2"/>
  <c r="W44" i="2"/>
  <c r="W46" i="2"/>
  <c r="W16" i="2"/>
  <c r="W24" i="2"/>
  <c r="W32" i="2"/>
  <c r="W40" i="2"/>
  <c r="W48" i="2"/>
  <c r="W10" i="2"/>
  <c r="W18" i="2"/>
  <c r="W26" i="2"/>
  <c r="W34" i="2"/>
  <c r="W42" i="2"/>
  <c r="W50" i="2"/>
  <c r="X39" i="2" l="1"/>
  <c r="X29" i="2"/>
  <c r="X37" i="2"/>
  <c r="X33" i="2"/>
  <c r="X45" i="2"/>
  <c r="X53" i="2"/>
  <c r="X19" i="2"/>
  <c r="X27" i="2"/>
  <c r="X23" i="2"/>
  <c r="X35" i="2"/>
  <c r="X17" i="2"/>
  <c r="X13" i="2"/>
  <c r="X25" i="2"/>
  <c r="X43" i="2"/>
  <c r="X11" i="2"/>
  <c r="X41" i="2"/>
  <c r="X21" i="2"/>
  <c r="X51" i="2"/>
  <c r="X49" i="2"/>
  <c r="X31" i="2"/>
  <c r="X47" i="2"/>
  <c r="X15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H12" i="2" s="1"/>
  <c r="I14" i="2" l="1"/>
  <c r="I22" i="2"/>
  <c r="I30" i="2"/>
  <c r="I34" i="2"/>
  <c r="H38" i="2"/>
  <c r="N38" i="2" s="1"/>
  <c r="H46" i="2"/>
  <c r="I50" i="2"/>
  <c r="I48" i="2"/>
  <c r="H52" i="2"/>
  <c r="H20" i="2"/>
  <c r="N20" i="2" s="1"/>
  <c r="I28" i="2"/>
  <c r="I38" i="2"/>
  <c r="I32" i="2"/>
  <c r="H36" i="2"/>
  <c r="N36" i="2" s="1"/>
  <c r="I40" i="2"/>
  <c r="I46" i="2"/>
  <c r="H22" i="2"/>
  <c r="N22" i="2" s="1"/>
  <c r="I12" i="2"/>
  <c r="I16" i="2"/>
  <c r="I20" i="2"/>
  <c r="H28" i="2"/>
  <c r="N28" i="2" s="1"/>
  <c r="I42" i="2"/>
  <c r="I24" i="2"/>
  <c r="H30" i="2"/>
  <c r="N30" i="2" s="1"/>
  <c r="I36" i="2"/>
  <c r="H42" i="2"/>
  <c r="I52" i="2"/>
  <c r="H18" i="2"/>
  <c r="N18" i="2" s="1"/>
  <c r="H44" i="2"/>
  <c r="I18" i="2"/>
  <c r="I26" i="2"/>
  <c r="I44" i="2"/>
  <c r="H50" i="2"/>
  <c r="H24" i="2"/>
  <c r="N24" i="2" s="1"/>
  <c r="H32" i="2"/>
  <c r="N32" i="2" s="1"/>
  <c r="H40" i="2"/>
  <c r="H48" i="2"/>
  <c r="H26" i="2"/>
  <c r="N26" i="2" s="1"/>
  <c r="H34" i="2"/>
  <c r="N34" i="2" s="1"/>
  <c r="H14" i="2"/>
  <c r="H16" i="2"/>
  <c r="N16" i="2" s="1"/>
  <c r="L28" i="2" l="1"/>
  <c r="M28" i="2" s="1"/>
  <c r="L36" i="2"/>
  <c r="M36" i="2" s="1"/>
  <c r="L38" i="2"/>
  <c r="M38" i="2" s="1"/>
  <c r="L18" i="2"/>
  <c r="M18" i="2" s="1"/>
  <c r="L32" i="2"/>
  <c r="M32" i="2" s="1"/>
  <c r="L34" i="2"/>
  <c r="M34" i="2" s="1"/>
  <c r="L22" i="2"/>
  <c r="M22" i="2" s="1"/>
  <c r="L20" i="2"/>
  <c r="M20" i="2" s="1"/>
  <c r="L26" i="2"/>
  <c r="M26" i="2" s="1"/>
  <c r="L24" i="2"/>
  <c r="M24" i="2" s="1"/>
  <c r="L16" i="2"/>
  <c r="M16" i="2" s="1"/>
  <c r="L30" i="2"/>
  <c r="M30" i="2" s="1"/>
  <c r="I19" i="2"/>
  <c r="I15" i="2"/>
  <c r="I47" i="2"/>
  <c r="I27" i="2"/>
  <c r="I35" i="2"/>
  <c r="I23" i="2"/>
  <c r="I29" i="2"/>
  <c r="I37" i="2"/>
  <c r="I49" i="2"/>
  <c r="I21" i="2"/>
  <c r="I39" i="2"/>
  <c r="I51" i="2"/>
  <c r="I33" i="2"/>
  <c r="I53" i="2"/>
  <c r="I31" i="2"/>
  <c r="I13" i="2"/>
  <c r="I45" i="2"/>
  <c r="I43" i="2"/>
  <c r="I17" i="2"/>
  <c r="I25" i="2"/>
  <c r="I41" i="2"/>
  <c r="G11" i="2" l="1"/>
  <c r="G10" i="2"/>
  <c r="I10" i="2" l="1"/>
  <c r="H10" i="2"/>
  <c r="I11" i="2" l="1"/>
</calcChain>
</file>

<file path=xl/sharedStrings.xml><?xml version="1.0" encoding="utf-8"?>
<sst xmlns="http://schemas.openxmlformats.org/spreadsheetml/2006/main" count="511" uniqueCount="182">
  <si>
    <t>Result Calculation: final result vector genome / ml =</t>
  </si>
  <si>
    <r>
      <t>[ (</t>
    </r>
    <r>
      <rPr>
        <b/>
        <sz val="11"/>
        <color theme="4" tint="-0.249977111117893"/>
        <rFont val="Calibri"/>
        <family val="2"/>
        <scheme val="minor"/>
      </rPr>
      <t>ddPCR volume</t>
    </r>
    <r>
      <rPr>
        <sz val="11"/>
        <color theme="1"/>
        <rFont val="Calibri"/>
        <family val="2"/>
        <scheme val="minor"/>
      </rPr>
      <t xml:space="preserve"> * </t>
    </r>
    <r>
      <rPr>
        <b/>
        <sz val="11"/>
        <color theme="9" tint="-0.249977111117893"/>
        <rFont val="Calibri"/>
        <family val="2"/>
        <scheme val="minor"/>
      </rPr>
      <t>result (conc/µl)</t>
    </r>
    <r>
      <rPr>
        <sz val="11"/>
        <color theme="1"/>
        <rFont val="Calibri"/>
        <family val="2"/>
        <scheme val="minor"/>
      </rPr>
      <t>) * (</t>
    </r>
    <r>
      <rPr>
        <b/>
        <sz val="11"/>
        <color theme="0" tint="-0.34998626667073579"/>
        <rFont val="Calibri"/>
        <family val="2"/>
        <scheme val="minor"/>
      </rPr>
      <t>1000</t>
    </r>
    <r>
      <rPr>
        <sz val="11"/>
        <color theme="1"/>
        <rFont val="Calibri"/>
        <family val="2"/>
        <scheme val="minor"/>
      </rPr>
      <t>/</t>
    </r>
    <r>
      <rPr>
        <b/>
        <sz val="11"/>
        <color theme="5" tint="-0.249977111117893"/>
        <rFont val="Calibri"/>
        <family val="2"/>
        <scheme val="minor"/>
      </rPr>
      <t>sample volume in ddPCR rxn</t>
    </r>
    <r>
      <rPr>
        <sz val="11"/>
        <color theme="1"/>
        <rFont val="Calibri"/>
        <family val="2"/>
        <scheme val="minor"/>
      </rPr>
      <t xml:space="preserve">) ] * </t>
    </r>
    <r>
      <rPr>
        <b/>
        <sz val="11"/>
        <color rgb="FF7030A0"/>
        <rFont val="Calibri"/>
        <family val="2"/>
        <scheme val="minor"/>
      </rPr>
      <t>final dilution</t>
    </r>
  </si>
  <si>
    <t xml:space="preserve">ddPCR volume = 20µl </t>
  </si>
  <si>
    <t>Operator:</t>
  </si>
  <si>
    <t>result (conc/µl) = Quantasoft result</t>
  </si>
  <si>
    <t>1000 = Convertion of µl to ml</t>
  </si>
  <si>
    <t>sample volume = volume of sample per ddPCR rxn = 2µl</t>
  </si>
  <si>
    <t xml:space="preserve">final dilution = all dilutions during sample preparation </t>
  </si>
  <si>
    <t>Duplex</t>
  </si>
  <si>
    <t>Well</t>
  </si>
  <si>
    <t>Target</t>
  </si>
  <si>
    <t>Sample</t>
  </si>
  <si>
    <t>conc/µl</t>
  </si>
  <si>
    <t>final dilution factor</t>
  </si>
  <si>
    <t>vg/ml</t>
  </si>
  <si>
    <t>Mean [vg/ml]</t>
  </si>
  <si>
    <t>STDE/CV %</t>
  </si>
  <si>
    <t>Comments</t>
  </si>
  <si>
    <t>A01</t>
  </si>
  <si>
    <t>TA1</t>
  </si>
  <si>
    <t>A02</t>
  </si>
  <si>
    <t>B01</t>
  </si>
  <si>
    <t>TA2</t>
  </si>
  <si>
    <t>B02</t>
  </si>
  <si>
    <t>C01</t>
  </si>
  <si>
    <t>TA3</t>
  </si>
  <si>
    <t>C02</t>
  </si>
  <si>
    <t>D01</t>
  </si>
  <si>
    <t>TA4</t>
  </si>
  <si>
    <t>D02</t>
  </si>
  <si>
    <t>E01</t>
  </si>
  <si>
    <t>TA5</t>
  </si>
  <si>
    <t>E02</t>
  </si>
  <si>
    <t>F01</t>
  </si>
  <si>
    <t>TA6</t>
  </si>
  <si>
    <t>F02</t>
  </si>
  <si>
    <t>G01</t>
  </si>
  <si>
    <t>TA7</t>
  </si>
  <si>
    <t>G02</t>
  </si>
  <si>
    <t>H01</t>
  </si>
  <si>
    <t>TA8</t>
  </si>
  <si>
    <t>H02</t>
  </si>
  <si>
    <t>A03</t>
  </si>
  <si>
    <t>TA9</t>
  </si>
  <si>
    <t>A04</t>
  </si>
  <si>
    <t>B03</t>
  </si>
  <si>
    <t>TA10</t>
  </si>
  <si>
    <t>B04</t>
  </si>
  <si>
    <t>C03</t>
  </si>
  <si>
    <t>TA11</t>
  </si>
  <si>
    <t>C04</t>
  </si>
  <si>
    <t>D03</t>
  </si>
  <si>
    <t>TA12</t>
  </si>
  <si>
    <t>D04</t>
  </si>
  <si>
    <t>E03</t>
  </si>
  <si>
    <t>TA13</t>
  </si>
  <si>
    <t>E04</t>
  </si>
  <si>
    <t>F03</t>
  </si>
  <si>
    <t>TA14</t>
  </si>
  <si>
    <t>F04</t>
  </si>
  <si>
    <t>G03</t>
  </si>
  <si>
    <t>TA15</t>
  </si>
  <si>
    <t>G04</t>
  </si>
  <si>
    <t>H03</t>
  </si>
  <si>
    <t>TA16</t>
  </si>
  <si>
    <t>H04</t>
  </si>
  <si>
    <t>A05</t>
  </si>
  <si>
    <t>TA17</t>
  </si>
  <si>
    <t>A06</t>
  </si>
  <si>
    <t>B05</t>
  </si>
  <si>
    <t>TA18</t>
  </si>
  <si>
    <t>B06</t>
  </si>
  <si>
    <t>C05</t>
  </si>
  <si>
    <t>TA19</t>
  </si>
  <si>
    <t>C06</t>
  </si>
  <si>
    <t>D05</t>
  </si>
  <si>
    <t>TA20</t>
  </si>
  <si>
    <t>D06</t>
  </si>
  <si>
    <t>E05</t>
  </si>
  <si>
    <t>TA21</t>
  </si>
  <si>
    <t>E06</t>
  </si>
  <si>
    <t>F05</t>
  </si>
  <si>
    <t>TA22</t>
  </si>
  <si>
    <t>F06</t>
  </si>
  <si>
    <t>TA23</t>
  </si>
  <si>
    <t>TA24</t>
  </si>
  <si>
    <t>TA25</t>
  </si>
  <si>
    <t>TA26</t>
  </si>
  <si>
    <t>TA27</t>
  </si>
  <si>
    <t>TA28</t>
  </si>
  <si>
    <t>TA29</t>
  </si>
  <si>
    <t>TA30</t>
  </si>
  <si>
    <t>TA31</t>
  </si>
  <si>
    <t>TA32</t>
  </si>
  <si>
    <t>TA33</t>
  </si>
  <si>
    <t>TA34</t>
  </si>
  <si>
    <t>TA35</t>
  </si>
  <si>
    <t>TA36</t>
  </si>
  <si>
    <t>TA37</t>
  </si>
  <si>
    <t>TA38</t>
  </si>
  <si>
    <t>TA39</t>
  </si>
  <si>
    <t>TA40</t>
  </si>
  <si>
    <t>TA41</t>
  </si>
  <si>
    <t>TA42</t>
  </si>
  <si>
    <t>TA43</t>
  </si>
  <si>
    <t>TA44</t>
  </si>
  <si>
    <t>TA45</t>
  </si>
  <si>
    <t>TA46</t>
  </si>
  <si>
    <t>TA47</t>
  </si>
  <si>
    <t>TA48</t>
  </si>
  <si>
    <t>IDT</t>
  </si>
  <si>
    <t>ITR</t>
  </si>
  <si>
    <t>upper 3s action limit</t>
  </si>
  <si>
    <t>upper 2s warning limit</t>
  </si>
  <si>
    <t>FVIII</t>
  </si>
  <si>
    <t>mean</t>
  </si>
  <si>
    <t>HT2</t>
  </si>
  <si>
    <t>lower 2s warning limit</t>
  </si>
  <si>
    <t>lower 3s action limit</t>
  </si>
  <si>
    <t>FIX</t>
  </si>
  <si>
    <t>Samples</t>
  </si>
  <si>
    <t>ITR - FVIII</t>
  </si>
  <si>
    <t>ITR - IDT</t>
  </si>
  <si>
    <t>TA</t>
  </si>
  <si>
    <t>Probennamen</t>
  </si>
  <si>
    <t>Ergebnis [vg/ml]</t>
  </si>
  <si>
    <t>ITR [vg/ml]</t>
  </si>
  <si>
    <t>final Dil.</t>
  </si>
  <si>
    <t>plasmid control</t>
  </si>
  <si>
    <t xml:space="preserve"> upper 3s action limit</t>
  </si>
  <si>
    <t>reference control</t>
  </si>
  <si>
    <t>Data Analysis and Summary</t>
  </si>
  <si>
    <t>Date of the Experiment:</t>
  </si>
  <si>
    <t>Experiment Name:</t>
  </si>
  <si>
    <t>Quick check controls</t>
  </si>
  <si>
    <t>Plasmid target data</t>
  </si>
  <si>
    <t>Plasmidcontrol</t>
  </si>
  <si>
    <t>Referencecontrol</t>
  </si>
  <si>
    <t>complies</t>
  </si>
  <si>
    <t>&lt;LOQ</t>
  </si>
  <si>
    <t>Two-fold Test Analysis</t>
  </si>
  <si>
    <t>GN</t>
  </si>
  <si>
    <t>target</t>
  </si>
  <si>
    <t>rep#</t>
  </si>
  <si>
    <t>Sample name</t>
  </si>
  <si>
    <t>CV%</t>
  </si>
  <si>
    <t>IDT/ITR</t>
  </si>
  <si>
    <r>
      <t>mean</t>
    </r>
    <r>
      <rPr>
        <b/>
        <sz val="12"/>
        <color theme="1"/>
        <rFont val="Calibri"/>
        <family val="2"/>
        <scheme val="minor"/>
      </rPr>
      <t xml:space="preserve"> IDT</t>
    </r>
    <r>
      <rPr>
        <b/>
        <sz val="11"/>
        <color theme="1"/>
        <rFont val="Calibri"/>
        <family val="2"/>
        <scheme val="minor"/>
      </rPr>
      <t xml:space="preserve">
[vg/mL]</t>
    </r>
  </si>
  <si>
    <t>ratio
IDT/ITR</t>
  </si>
  <si>
    <t>Fabian Knofl</t>
  </si>
  <si>
    <t>GN004308-086</t>
  </si>
  <si>
    <r>
      <t>Negative control nuclease free dH</t>
    </r>
    <r>
      <rPr>
        <b/>
        <vertAlign val="sub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>0</t>
    </r>
  </si>
  <si>
    <t>Plasmid control (pXL029_SacI)</t>
  </si>
  <si>
    <t xml:space="preserve">Reference control (PP073_1933_FDP) </t>
  </si>
  <si>
    <t>1.1A</t>
  </si>
  <si>
    <t>5.35A</t>
  </si>
  <si>
    <t>5.36A</t>
  </si>
  <si>
    <t>5.37A</t>
  </si>
  <si>
    <t>5.38A</t>
  </si>
  <si>
    <t>5.39A</t>
  </si>
  <si>
    <t>FF_028_A003_c04_BDS 6m, +4°C</t>
  </si>
  <si>
    <t>FF_028_A003_c04_FDP 6m, -60°C</t>
  </si>
  <si>
    <t>Plasmid control (pXL029_SacI) -DNase</t>
  </si>
  <si>
    <t>2.86E+04</t>
  </si>
  <si>
    <t>2.12</t>
  </si>
  <si>
    <t>2.19</t>
  </si>
  <si>
    <t>5.40</t>
  </si>
  <si>
    <t>5.41</t>
  </si>
  <si>
    <t>5.42</t>
  </si>
  <si>
    <t>5.43</t>
  </si>
  <si>
    <t>Negative control nuclease free dH20</t>
  </si>
  <si>
    <t>/</t>
  </si>
  <si>
    <t>Replicate 2</t>
  </si>
  <si>
    <t>expected result =&gt;Tube</t>
  </si>
  <si>
    <t>MW</t>
  </si>
  <si>
    <t>Ratio</t>
  </si>
  <si>
    <t>GN004308-083</t>
  </si>
  <si>
    <t>ITR current</t>
  </si>
  <si>
    <t>final result (mean)</t>
  </si>
  <si>
    <t>ITR new GN004308-086</t>
  </si>
  <si>
    <t>ITR new GN004308-078</t>
  </si>
  <si>
    <t>ITR new GN004308-077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</si>
</sst>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0.0E+00"/>
    <numFmt numFmtId="166" formatCode="0.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rgb="FF666666"/>
      <name val="Montserrat"/>
    </font>
    <font>
      <b/>
      <sz val="11"/>
      <color rgb="FF000000"/>
      <name val="Calibri"/>
      <family val="2"/>
    </font>
    <font>
      <b/>
      <i/>
      <sz val="9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theme="1"/>
      <name val="Arial"/>
      <family val="2"/>
    </font>
    <font>
      <b/>
      <vertAlign val="subscript"/>
      <sz val="9"/>
      <color theme="1"/>
      <name val="Arial"/>
      <family val="2"/>
    </font>
    <font>
      <b/>
      <sz val="9"/>
      <color rgb="FF548DD4"/>
      <name val="Arial"/>
      <family val="2"/>
    </font>
    <font>
      <b/>
      <i/>
      <sz val="9"/>
      <color theme="1"/>
      <name val="Arial"/>
      <family val="2"/>
    </font>
    <font>
      <b/>
      <i/>
      <sz val="9"/>
      <color rgb="FF548DD4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DBDB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BE5F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ck">
        <color rgb="FF95B3D7"/>
      </bottom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4">
    <xf numFmtId="0" fontId="0" fillId="0" borderId="0" xfId="0"/>
    <xf numFmtId="0" fontId="3" fillId="0" borderId="1" xfId="0" applyFont="1" applyBorder="1"/>
    <xf numFmtId="0" fontId="4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0" fontId="0" fillId="2" borderId="0" xfId="0" applyFill="1"/>
    <xf numFmtId="0" fontId="8" fillId="0" borderId="0" xfId="0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11" fontId="0" fillId="0" borderId="1" xfId="0" applyNumberFormat="1" applyBorder="1"/>
    <xf numFmtId="2" fontId="0" fillId="0" borderId="1" xfId="1" applyNumberFormat="1" applyFont="1" applyBorder="1"/>
    <xf numFmtId="11" fontId="0" fillId="0" borderId="0" xfId="0" applyNumberFormat="1"/>
    <xf numFmtId="0" fontId="9" fillId="0" borderId="0" xfId="0" applyFont="1" applyAlignment="1">
      <alignment horizontal="left"/>
    </xf>
    <xf numFmtId="0" fontId="4" fillId="0" borderId="8" xfId="0" applyFont="1" applyBorder="1"/>
    <xf numFmtId="11" fontId="0" fillId="0" borderId="7" xfId="0" applyNumberFormat="1" applyBorder="1" applyAlignment="1">
      <alignment horizontal="right"/>
    </xf>
    <xf numFmtId="11" fontId="0" fillId="0" borderId="1" xfId="0" applyNumberFormat="1" applyBorder="1" applyAlignment="1">
      <alignment horizontal="right"/>
    </xf>
    <xf numFmtId="0" fontId="0" fillId="9" borderId="1" xfId="0" applyFill="1" applyBorder="1" applyAlignment="1">
      <alignment horizontal="center" vertical="center" wrapText="1"/>
    </xf>
    <xf numFmtId="0" fontId="3" fillId="9" borderId="1" xfId="0" applyFont="1" applyFill="1" applyBorder="1"/>
    <xf numFmtId="0" fontId="4" fillId="9" borderId="1" xfId="0" applyFont="1" applyFill="1" applyBorder="1"/>
    <xf numFmtId="0" fontId="0" fillId="9" borderId="1" xfId="0" applyFill="1" applyBorder="1"/>
    <xf numFmtId="11" fontId="0" fillId="9" borderId="1" xfId="0" applyNumberFormat="1" applyFill="1" applyBorder="1"/>
    <xf numFmtId="0" fontId="0" fillId="9" borderId="1" xfId="0" applyFill="1" applyBorder="1" applyAlignment="1">
      <alignment vertical="center"/>
    </xf>
    <xf numFmtId="0" fontId="12" fillId="0" borderId="0" xfId="0" applyFont="1"/>
    <xf numFmtId="2" fontId="0" fillId="0" borderId="9" xfId="0" applyNumberFormat="1" applyBorder="1"/>
    <xf numFmtId="2" fontId="0" fillId="0" borderId="1" xfId="0" applyNumberFormat="1" applyBorder="1"/>
    <xf numFmtId="2" fontId="0" fillId="9" borderId="1" xfId="0" applyNumberFormat="1" applyFill="1" applyBorder="1"/>
    <xf numFmtId="0" fontId="2" fillId="0" borderId="1" xfId="0" applyFont="1" applyBorder="1"/>
    <xf numFmtId="0" fontId="0" fillId="0" borderId="8" xfId="0" applyBorder="1"/>
    <xf numFmtId="11" fontId="0" fillId="0" borderId="8" xfId="0" applyNumberFormat="1" applyBorder="1"/>
    <xf numFmtId="0" fontId="0" fillId="11" borderId="1" xfId="0" applyFill="1" applyBorder="1"/>
    <xf numFmtId="0" fontId="0" fillId="12" borderId="1" xfId="0" applyFill="1" applyBorder="1"/>
    <xf numFmtId="11" fontId="0" fillId="12" borderId="1" xfId="0" applyNumberFormat="1" applyFill="1" applyBorder="1" applyAlignment="1">
      <alignment horizontal="center" vertical="center"/>
    </xf>
    <xf numFmtId="11" fontId="0" fillId="11" borderId="1" xfId="0" applyNumberFormat="1" applyFill="1" applyBorder="1" applyAlignment="1">
      <alignment horizontal="center" vertical="center"/>
    </xf>
    <xf numFmtId="0" fontId="0" fillId="13" borderId="1" xfId="0" applyFill="1" applyBorder="1"/>
    <xf numFmtId="11" fontId="0" fillId="13" borderId="1" xfId="0" applyNumberFormat="1" applyFill="1" applyBorder="1" applyAlignment="1">
      <alignment horizontal="center" vertical="center"/>
    </xf>
    <xf numFmtId="0" fontId="15" fillId="0" borderId="0" xfId="0" applyFont="1"/>
    <xf numFmtId="0" fontId="0" fillId="0" borderId="11" xfId="0" applyBorder="1"/>
    <xf numFmtId="0" fontId="2" fillId="0" borderId="1" xfId="0" applyFont="1" applyBorder="1" applyAlignment="1">
      <alignment horizontal="center" vertical="center"/>
    </xf>
    <xf numFmtId="0" fontId="12" fillId="0" borderId="15" xfId="0" applyFont="1" applyBorder="1"/>
    <xf numFmtId="0" fontId="12" fillId="0" borderId="16" xfId="0" applyFont="1" applyBorder="1"/>
    <xf numFmtId="0" fontId="12" fillId="0" borderId="17" xfId="0" applyFont="1" applyBorder="1"/>
    <xf numFmtId="0" fontId="0" fillId="0" borderId="18" xfId="0" applyBorder="1"/>
    <xf numFmtId="0" fontId="0" fillId="0" borderId="19" xfId="0" applyBorder="1"/>
    <xf numFmtId="0" fontId="2" fillId="0" borderId="18" xfId="0" applyFont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2" fillId="0" borderId="16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vertical="center"/>
    </xf>
    <xf numFmtId="0" fontId="0" fillId="11" borderId="1" xfId="0" applyFill="1" applyBorder="1" applyAlignment="1">
      <alignment vertical="center"/>
    </xf>
    <xf numFmtId="0" fontId="0" fillId="12" borderId="1" xfId="0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/>
    <xf numFmtId="0" fontId="2" fillId="7" borderId="8" xfId="0" applyFont="1" applyFill="1" applyBorder="1" applyAlignment="1">
      <alignment horizontal="left"/>
    </xf>
    <xf numFmtId="0" fontId="2" fillId="7" borderId="9" xfId="0" applyFont="1" applyFill="1" applyBorder="1" applyAlignment="1">
      <alignment horizontal="left"/>
    </xf>
    <xf numFmtId="0" fontId="16" fillId="0" borderId="24" xfId="0" applyFont="1" applyBorder="1" applyAlignment="1">
      <alignment vertical="center" wrapText="1"/>
    </xf>
    <xf numFmtId="0" fontId="16" fillId="15" borderId="24" xfId="0" applyFont="1" applyFill="1" applyBorder="1" applyAlignment="1">
      <alignment vertical="center" wrapText="1"/>
    </xf>
    <xf numFmtId="11" fontId="17" fillId="0" borderId="24" xfId="0" applyNumberFormat="1" applyFont="1" applyBorder="1" applyAlignment="1">
      <alignment horizontal="center" vertical="center" wrapText="1"/>
    </xf>
    <xf numFmtId="11" fontId="17" fillId="15" borderId="24" xfId="0" applyNumberFormat="1" applyFont="1" applyFill="1" applyBorder="1" applyAlignment="1">
      <alignment horizontal="center" vertical="center" wrapText="1"/>
    </xf>
    <xf numFmtId="11" fontId="0" fillId="0" borderId="1" xfId="0" applyNumberFormat="1" applyBorder="1" applyAlignment="1">
      <alignment horizontal="center"/>
    </xf>
    <xf numFmtId="0" fontId="2" fillId="10" borderId="1" xfId="0" applyFont="1" applyFill="1" applyBorder="1" applyAlignment="1">
      <alignment horizontal="center" vertical="center"/>
    </xf>
    <xf numFmtId="11" fontId="2" fillId="10" borderId="1" xfId="0" applyNumberFormat="1" applyFont="1" applyFill="1" applyBorder="1" applyAlignment="1">
      <alignment vertical="center" wrapText="1"/>
    </xf>
    <xf numFmtId="11" fontId="2" fillId="10" borderId="1" xfId="0" applyNumberFormat="1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2" fillId="16" borderId="8" xfId="0" applyNumberFormat="1" applyFont="1" applyFill="1" applyBorder="1" applyAlignment="1">
      <alignment horizontal="right" vertical="center" wrapText="1"/>
    </xf>
    <xf numFmtId="11" fontId="2" fillId="17" borderId="11" xfId="0" applyNumberFormat="1" applyFont="1" applyFill="1" applyBorder="1" applyAlignment="1">
      <alignment horizontal="center" vertical="center" wrapText="1"/>
    </xf>
    <xf numFmtId="0" fontId="2" fillId="16" borderId="8" xfId="0" applyFont="1" applyFill="1" applyBorder="1" applyAlignment="1">
      <alignment horizontal="right"/>
    </xf>
    <xf numFmtId="166" fontId="2" fillId="0" borderId="1" xfId="0" applyNumberFormat="1" applyFont="1" applyBorder="1" applyAlignment="1">
      <alignment horizontal="center"/>
    </xf>
    <xf numFmtId="0" fontId="16" fillId="18" borderId="24" xfId="0" applyFont="1" applyFill="1" applyBorder="1" applyAlignment="1">
      <alignment vertical="center" wrapText="1"/>
    </xf>
    <xf numFmtId="0" fontId="19" fillId="0" borderId="24" xfId="0" applyFont="1" applyBorder="1" applyAlignment="1">
      <alignment vertical="center" wrapText="1"/>
    </xf>
    <xf numFmtId="11" fontId="17" fillId="18" borderId="24" xfId="0" applyNumberFormat="1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/>
    </xf>
    <xf numFmtId="0" fontId="20" fillId="0" borderId="23" xfId="0" applyFont="1" applyBorder="1" applyAlignment="1">
      <alignment vertical="center" wrapText="1"/>
    </xf>
    <xf numFmtId="0" fontId="20" fillId="0" borderId="24" xfId="0" applyFont="1" applyBorder="1" applyAlignment="1">
      <alignment vertical="center" wrapText="1"/>
    </xf>
    <xf numFmtId="0" fontId="22" fillId="0" borderId="24" xfId="0" applyFont="1" applyBorder="1" applyAlignment="1">
      <alignment vertical="center" wrapText="1"/>
    </xf>
    <xf numFmtId="11" fontId="23" fillId="0" borderId="23" xfId="0" applyNumberFormat="1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11" fontId="23" fillId="0" borderId="24" xfId="0" applyNumberFormat="1" applyFont="1" applyBorder="1" applyAlignment="1">
      <alignment horizontal="center" vertical="center" wrapText="1"/>
    </xf>
    <xf numFmtId="11" fontId="24" fillId="0" borderId="24" xfId="0" applyNumberFormat="1" applyFont="1" applyBorder="1" applyAlignment="1">
      <alignment horizontal="center" vertical="center" wrapText="1"/>
    </xf>
    <xf numFmtId="0" fontId="24" fillId="0" borderId="24" xfId="0" applyFont="1" applyBorder="1" applyAlignment="1">
      <alignment horizontal="center" vertical="center" wrapText="1"/>
    </xf>
    <xf numFmtId="49" fontId="16" fillId="0" borderId="24" xfId="0" applyNumberFormat="1" applyFont="1" applyBorder="1" applyAlignment="1">
      <alignment vertical="center" wrapText="1"/>
    </xf>
    <xf numFmtId="49" fontId="25" fillId="0" borderId="0" xfId="0" applyNumberFormat="1" applyFont="1"/>
    <xf numFmtId="49" fontId="16" fillId="15" borderId="24" xfId="0" applyNumberFormat="1" applyFont="1" applyFill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165" fontId="2" fillId="16" borderId="25" xfId="0" applyNumberFormat="1" applyFont="1" applyFill="1" applyBorder="1" applyAlignment="1">
      <alignment horizontal="right" vertical="center" wrapText="1"/>
    </xf>
    <xf numFmtId="2" fontId="0" fillId="0" borderId="11" xfId="0" applyNumberFormat="1" applyBorder="1" applyAlignment="1">
      <alignment horizontal="center" vertical="center"/>
    </xf>
    <xf numFmtId="11" fontId="2" fillId="8" borderId="10" xfId="0" applyNumberFormat="1" applyFont="1" applyFill="1" applyBorder="1" applyAlignment="1">
      <alignment horizontal="center" vertical="center"/>
    </xf>
    <xf numFmtId="11" fontId="2" fillId="8" borderId="11" xfId="0" applyNumberFormat="1" applyFont="1" applyFill="1" applyBorder="1" applyAlignment="1">
      <alignment horizontal="center" vertical="center"/>
    </xf>
    <xf numFmtId="11" fontId="2" fillId="12" borderId="10" xfId="0" applyNumberFormat="1" applyFont="1" applyFill="1" applyBorder="1" applyAlignment="1">
      <alignment horizontal="center" vertical="center"/>
    </xf>
    <xf numFmtId="11" fontId="2" fillId="12" borderId="11" xfId="0" applyNumberFormat="1" applyFont="1" applyFill="1" applyBorder="1" applyAlignment="1">
      <alignment horizontal="center" vertical="center"/>
    </xf>
    <xf numFmtId="2" fontId="2" fillId="11" borderId="1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11" fontId="27" fillId="8" borderId="10" xfId="0" applyNumberFormat="1" applyFont="1" applyFill="1" applyBorder="1" applyAlignment="1">
      <alignment horizontal="center" vertical="center"/>
    </xf>
    <xf numFmtId="11" fontId="27" fillId="8" borderId="11" xfId="0" applyNumberFormat="1" applyFont="1" applyFill="1" applyBorder="1" applyAlignment="1">
      <alignment horizontal="center" vertical="center"/>
    </xf>
    <xf numFmtId="11" fontId="27" fillId="12" borderId="10" xfId="0" applyNumberFormat="1" applyFont="1" applyFill="1" applyBorder="1" applyAlignment="1">
      <alignment horizontal="center" vertical="center"/>
    </xf>
    <xf numFmtId="11" fontId="27" fillId="12" borderId="11" xfId="0" applyNumberFormat="1" applyFont="1" applyFill="1" applyBorder="1" applyAlignment="1">
      <alignment horizontal="center" vertical="center"/>
    </xf>
    <xf numFmtId="2" fontId="27" fillId="11" borderId="1" xfId="0" applyNumberFormat="1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0" fillId="9" borderId="10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0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1" fontId="26" fillId="8" borderId="10" xfId="0" applyNumberFormat="1" applyFont="1" applyFill="1" applyBorder="1" applyAlignment="1">
      <alignment horizontal="center" vertical="center"/>
    </xf>
    <xf numFmtId="11" fontId="26" fillId="8" borderId="11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11" fontId="2" fillId="4" borderId="10" xfId="0" applyNumberFormat="1" applyFont="1" applyFill="1" applyBorder="1" applyAlignment="1">
      <alignment horizontal="center" vertical="center"/>
    </xf>
    <xf numFmtId="11" fontId="2" fillId="4" borderId="11" xfId="0" applyNumberFormat="1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left"/>
    </xf>
    <xf numFmtId="0" fontId="2" fillId="7" borderId="9" xfId="0" applyFont="1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11" fontId="26" fillId="4" borderId="10" xfId="0" applyNumberFormat="1" applyFont="1" applyFill="1" applyBorder="1" applyAlignment="1">
      <alignment horizontal="center" vertical="center"/>
    </xf>
    <xf numFmtId="11" fontId="26" fillId="4" borderId="11" xfId="0" applyNumberFormat="1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11" fontId="2" fillId="5" borderId="10" xfId="0" applyNumberFormat="1" applyFont="1" applyFill="1" applyBorder="1" applyAlignment="1">
      <alignment horizontal="center" vertical="center"/>
    </xf>
    <xf numFmtId="11" fontId="2" fillId="5" borderId="1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6" xfId="0" applyFill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6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6" xfId="0" applyFont="1" applyBorder="1" applyAlignment="1">
      <alignment horizontal="left"/>
    </xf>
    <xf numFmtId="0" fontId="7" fillId="0" borderId="5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6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6" xfId="0" applyFont="1" applyBorder="1" applyAlignment="1">
      <alignment horizontal="left"/>
    </xf>
    <xf numFmtId="0" fontId="10" fillId="0" borderId="5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6" xfId="0" applyFont="1" applyBorder="1" applyAlignment="1">
      <alignment horizontal="left"/>
    </xf>
    <xf numFmtId="0" fontId="13" fillId="6" borderId="0" xfId="0" applyFont="1" applyFill="1" applyAlignment="1">
      <alignment horizontal="center" vertical="center"/>
    </xf>
    <xf numFmtId="0" fontId="14" fillId="7" borderId="1" xfId="0" applyFont="1" applyFill="1" applyBorder="1" applyAlignment="1">
      <alignment horizontal="center"/>
    </xf>
    <xf numFmtId="164" fontId="14" fillId="7" borderId="1" xfId="0" applyNumberFormat="1" applyFont="1" applyFill="1" applyBorder="1" applyAlignment="1">
      <alignment horizontal="center"/>
    </xf>
    <xf numFmtId="0" fontId="0" fillId="9" borderId="8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 vertical="center" wrapText="1"/>
    </xf>
    <xf numFmtId="0" fontId="12" fillId="16" borderId="0" xfId="0" applyFont="1" applyFill="1" applyAlignment="1">
      <alignment horizont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textRotation="45"/>
    </xf>
    <xf numFmtId="0" fontId="0" fillId="0" borderId="13" xfId="0" applyBorder="1" applyAlignment="1">
      <alignment horizontal="center" vertical="center" textRotation="45"/>
    </xf>
    <xf numFmtId="0" fontId="0" fillId="0" borderId="14" xfId="0" applyBorder="1" applyAlignment="1">
      <alignment horizontal="center" vertical="center" textRotation="45"/>
    </xf>
    <xf numFmtId="0" fontId="0" fillId="0" borderId="0" xfId="0" applyAlignment="1">
      <alignment horizontal="center" vertical="center" textRotation="45"/>
    </xf>
    <xf numFmtId="11" fontId="0" fillId="9" borderId="10" xfId="0" applyNumberFormat="1" applyFill="1" applyBorder="1" applyAlignment="1">
      <alignment horizontal="center" vertical="center"/>
    </xf>
  </cellXfs>
  <cellStyles count="2">
    <cellStyle name="Prozent" xfId="1" builtinId="5"/>
    <cellStyle name="Standard" xfId="0" builtinId="0"/>
  </cellStyles>
  <dxfs count="49"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  <color rgb="FFFF7C80"/>
      <color rgb="FFDDDDDD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582706</xdr:colOff>
      <xdr:row>0</xdr:row>
      <xdr:rowOff>190499</xdr:rowOff>
    </xdr:from>
    <xdr:to>
      <xdr:col>10</xdr:col>
      <xdr:colOff>493059</xdr:colOff>
      <xdr:row>3</xdr:row>
      <xdr:rowOff>85724</xdr:rowOff>
    </xdr:to>
    <xdr:sp macro="[0]!RectangleRoundedCorners2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F07F4E1-F683-45BC-8513-C8633EF5D052}"/>
            </a:ext>
          </a:extLst>
        </xdr:cNvPr>
        <xdr:cNvSpPr/>
      </xdr:nvSpPr>
      <xdr:spPr>
        <a:xfrm>
          <a:off x="8908677" y="190499"/>
          <a:ext cx="4146176" cy="4667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Namen&amp;Verdünnung Kopieren</a:t>
          </a:r>
        </a:p>
      </xdr:txBody>
    </xdr:sp>
    <xdr:clientData/>
  </xdr:twoCellAnchor>
  <xdr:twoCellAnchor>
    <xdr:from>
      <xdr:col>0</xdr:col>
      <xdr:colOff>470647</xdr:colOff>
      <xdr:row>0</xdr:row>
      <xdr:rowOff>123265</xdr:rowOff>
    </xdr:from>
    <xdr:to>
      <xdr:col>4</xdr:col>
      <xdr:colOff>257735</xdr:colOff>
      <xdr:row>3</xdr:row>
      <xdr:rowOff>18490</xdr:rowOff>
    </xdr:to>
    <xdr:sp macro="[0]!RectangleRoundedCorners3_Clic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07D290-EDBB-4AC1-923D-68F90F626870}"/>
            </a:ext>
          </a:extLst>
        </xdr:cNvPr>
        <xdr:cNvSpPr/>
      </xdr:nvSpPr>
      <xdr:spPr>
        <a:xfrm>
          <a:off x="470647" y="123265"/>
          <a:ext cx="4146176" cy="4667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Daten für DFM erstellen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BA8E8-6BBF-4FA6-913B-8F17C8C50AC7}">
  <sheetPr codeName="Tabelle1">
    <pageSetUpPr fitToPage="1"/>
  </sheetPr>
  <dimension ref="A1:AF96"/>
  <sheetViews>
    <sheetView tabSelected="1" zoomScale="73" zoomScaleNormal="73" workbookViewId="0">
      <selection activeCell="D10" sqref="D10:D11"/>
    </sheetView>
  </sheetViews>
  <sheetFormatPr baseColWidth="10" defaultColWidth="11.42578125" defaultRowHeight="15" x14ac:dyDescent="0.25"/>
  <cols>
    <col min="1" max="1" width="23.42578125" bestFit="1" customWidth="1"/>
    <col min="2" max="2" width="8.7109375" bestFit="1" customWidth="1"/>
    <col min="3" max="3" width="6.140625" bestFit="1" customWidth="1"/>
    <col min="4" max="4" width="36.5703125" bestFit="1" customWidth="1"/>
    <col min="5" max="5" width="10.28515625" bestFit="1" customWidth="1"/>
    <col min="6" max="6" width="19.140625" bestFit="1" customWidth="1"/>
    <col min="7" max="7" width="9.7109375" bestFit="1" customWidth="1"/>
    <col min="8" max="8" width="13.28515625" bestFit="1" customWidth="1"/>
    <col min="9" max="9" width="10.7109375" bestFit="1" customWidth="1"/>
    <col min="10" max="10" width="11.7109375" bestFit="1" customWidth="1"/>
    <col min="11" max="11" width="22.85546875" bestFit="1" customWidth="1"/>
    <col min="12" max="12" width="9.7109375" bestFit="1" customWidth="1"/>
    <col min="13" max="13" width="7.7109375" bestFit="1" customWidth="1"/>
    <col min="14" max="14" width="6.140625" bestFit="1" customWidth="1"/>
    <col min="16" max="16" width="5.5703125" bestFit="1" customWidth="1"/>
    <col min="17" max="17" width="10.85546875" bestFit="1" customWidth="1"/>
    <col min="18" max="18" width="6.140625" bestFit="1" customWidth="1"/>
    <col min="19" max="19" width="36.5703125" bestFit="1" customWidth="1"/>
    <col min="20" max="20" width="9.7109375" bestFit="1" customWidth="1"/>
    <col min="21" max="21" width="19.140625" bestFit="1" customWidth="1"/>
    <col min="22" max="22" width="9.7109375" bestFit="1" customWidth="1"/>
    <col min="23" max="23" width="13.28515625" bestFit="1" customWidth="1"/>
    <col min="24" max="24" width="17.42578125" bestFit="1" customWidth="1"/>
    <col min="25" max="25" width="11.7109375" bestFit="1" customWidth="1"/>
    <col min="27" max="27" width="19.7109375" bestFit="1" customWidth="1"/>
  </cols>
  <sheetData>
    <row r="1" spans="1:32" ht="15" customHeight="1" x14ac:dyDescent="0.25">
      <c r="A1" s="157" t="s">
        <v>131</v>
      </c>
      <c r="B1" s="157"/>
      <c r="C1" s="157"/>
      <c r="D1" s="157"/>
      <c r="E1" s="157"/>
      <c r="F1" s="157"/>
      <c r="G1" s="157"/>
      <c r="H1" s="157"/>
      <c r="I1" s="157"/>
      <c r="J1" s="157"/>
      <c r="K1" s="80"/>
      <c r="L1" s="80"/>
      <c r="M1" s="80"/>
      <c r="N1" s="80"/>
      <c r="P1" s="136" t="s">
        <v>0</v>
      </c>
      <c r="Q1" s="137"/>
      <c r="R1" s="137"/>
      <c r="S1" s="137"/>
      <c r="T1" s="137"/>
      <c r="U1" s="137"/>
      <c r="V1" s="138"/>
    </row>
    <row r="2" spans="1:32" ht="15" customHeight="1" x14ac:dyDescent="0.25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80"/>
      <c r="L2" s="80"/>
      <c r="M2" s="80"/>
      <c r="N2" s="80"/>
      <c r="P2" s="139" t="s">
        <v>1</v>
      </c>
      <c r="Q2" s="140"/>
      <c r="R2" s="140"/>
      <c r="S2" s="140"/>
      <c r="T2" s="140"/>
      <c r="U2" s="140"/>
      <c r="V2" s="141"/>
    </row>
    <row r="3" spans="1:32" x14ac:dyDescent="0.25">
      <c r="P3" s="142" t="s">
        <v>2</v>
      </c>
      <c r="Q3" s="143"/>
      <c r="R3" s="143"/>
      <c r="S3" s="143"/>
      <c r="T3" s="143"/>
      <c r="U3" s="143"/>
      <c r="V3" s="144"/>
    </row>
    <row r="4" spans="1:32" x14ac:dyDescent="0.25">
      <c r="A4" s="127" t="s">
        <v>3</v>
      </c>
      <c r="B4" s="128"/>
      <c r="C4" s="158" t="s">
        <v>149</v>
      </c>
      <c r="D4" s="158"/>
      <c r="P4" s="145" t="s">
        <v>4</v>
      </c>
      <c r="Q4" s="146"/>
      <c r="R4" s="146"/>
      <c r="S4" s="146"/>
      <c r="T4" s="146"/>
      <c r="U4" s="146"/>
      <c r="V4" s="147"/>
    </row>
    <row r="5" spans="1:32" x14ac:dyDescent="0.25">
      <c r="A5" s="58" t="s">
        <v>132</v>
      </c>
      <c r="B5" s="59"/>
      <c r="C5" s="159">
        <v>45174</v>
      </c>
      <c r="D5" s="159"/>
      <c r="P5" s="148" t="s">
        <v>5</v>
      </c>
      <c r="Q5" s="149"/>
      <c r="R5" s="149"/>
      <c r="S5" s="149"/>
      <c r="T5" s="149"/>
      <c r="U5" s="149"/>
      <c r="V5" s="150"/>
    </row>
    <row r="6" spans="1:32" x14ac:dyDescent="0.25">
      <c r="A6" s="127" t="s">
        <v>133</v>
      </c>
      <c r="B6" s="128"/>
      <c r="C6" s="129" t="s">
        <v>150</v>
      </c>
      <c r="D6" s="129"/>
      <c r="P6" s="154" t="s">
        <v>6</v>
      </c>
      <c r="Q6" s="155"/>
      <c r="R6" s="155"/>
      <c r="S6" s="155"/>
      <c r="T6" s="155"/>
      <c r="U6" s="155"/>
      <c r="V6" s="156"/>
    </row>
    <row r="7" spans="1:32" x14ac:dyDescent="0.25">
      <c r="P7" s="151" t="s">
        <v>7</v>
      </c>
      <c r="Q7" s="152"/>
      <c r="R7" s="152"/>
      <c r="S7" s="152"/>
      <c r="T7" s="152"/>
      <c r="U7" s="152"/>
      <c r="V7" s="153"/>
      <c r="Z7" s="14"/>
      <c r="AA7" s="14"/>
      <c r="AB7" s="14"/>
      <c r="AC7" s="14"/>
      <c r="AD7" s="14"/>
      <c r="AE7" s="14"/>
      <c r="AF7" s="14"/>
    </row>
    <row r="8" spans="1:32" ht="28.5" x14ac:dyDescent="0.45">
      <c r="P8" s="132" t="s">
        <v>8</v>
      </c>
      <c r="Q8" s="133"/>
      <c r="R8" s="133"/>
      <c r="S8" s="133"/>
      <c r="T8" s="133"/>
      <c r="U8" s="133"/>
      <c r="V8" s="133"/>
      <c r="W8" s="133"/>
      <c r="X8" s="133"/>
      <c r="Y8" s="133"/>
    </row>
    <row r="9" spans="1:32" x14ac:dyDescent="0.25">
      <c r="A9" s="4" t="s">
        <v>9</v>
      </c>
      <c r="B9" s="4" t="s">
        <v>10</v>
      </c>
      <c r="C9" s="124" t="s">
        <v>11</v>
      </c>
      <c r="D9" s="102"/>
      <c r="E9" s="4" t="s">
        <v>12</v>
      </c>
      <c r="F9" s="4" t="s">
        <v>13</v>
      </c>
      <c r="G9" s="4" t="s">
        <v>14</v>
      </c>
      <c r="H9" s="4" t="s">
        <v>15</v>
      </c>
      <c r="I9" s="4" t="s">
        <v>16</v>
      </c>
      <c r="J9" s="4" t="s">
        <v>17</v>
      </c>
      <c r="K9" s="92" t="s">
        <v>173</v>
      </c>
      <c r="L9" s="92" t="s">
        <v>174</v>
      </c>
      <c r="M9" s="92" t="s">
        <v>145</v>
      </c>
      <c r="N9" s="92" t="s">
        <v>175</v>
      </c>
      <c r="P9" s="18" t="s">
        <v>9</v>
      </c>
      <c r="Q9" s="18" t="s">
        <v>10</v>
      </c>
      <c r="R9" s="160" t="s">
        <v>11</v>
      </c>
      <c r="S9" s="161"/>
      <c r="T9" s="18" t="s">
        <v>12</v>
      </c>
      <c r="U9" s="18" t="s">
        <v>13</v>
      </c>
      <c r="V9" s="18" t="s">
        <v>14</v>
      </c>
      <c r="W9" s="18" t="s">
        <v>15</v>
      </c>
      <c r="X9" s="18" t="s">
        <v>16</v>
      </c>
      <c r="Y9" s="23" t="s">
        <v>17</v>
      </c>
    </row>
    <row r="10" spans="1:32" x14ac:dyDescent="0.25">
      <c r="A10" s="1" t="s">
        <v>18</v>
      </c>
      <c r="B10" s="118" t="s">
        <v>110</v>
      </c>
      <c r="C10" s="15" t="s">
        <v>19</v>
      </c>
      <c r="D10" s="120" t="s">
        <v>170</v>
      </c>
      <c r="E10" s="25">
        <v>0</v>
      </c>
      <c r="F10" s="16">
        <v>100</v>
      </c>
      <c r="G10" s="11">
        <f>((20*E10)*(1000/2))*F10</f>
        <v>0</v>
      </c>
      <c r="H10" s="134">
        <f>AVERAGE(G10,G11)</f>
        <v>0</v>
      </c>
      <c r="I10" s="11">
        <f>_xlfn.STDEV.P(G10:G11)</f>
        <v>0</v>
      </c>
      <c r="J10" s="105" t="s">
        <v>138</v>
      </c>
      <c r="O10" t="s">
        <v>170</v>
      </c>
      <c r="P10" s="19" t="s">
        <v>18</v>
      </c>
      <c r="Q10" s="116">
        <v>100</v>
      </c>
      <c r="R10" s="20" t="s">
        <v>19</v>
      </c>
      <c r="S10" s="114" t="s">
        <v>170</v>
      </c>
      <c r="T10" s="27">
        <v>0.60521775484085105</v>
      </c>
      <c r="U10" s="22">
        <v>100</v>
      </c>
      <c r="V10" s="22">
        <f t="shared" ref="V10:V53" si="0">((20*T10)*(1000/2))*U10</f>
        <v>605217.75484085106</v>
      </c>
      <c r="W10" s="134">
        <f t="shared" ref="W10" si="1">AVERAGE(V10,V11)</f>
        <v>2840515.5241489406</v>
      </c>
      <c r="X10" s="11">
        <f t="shared" ref="X10" si="2">_xlfn.STDEV.P(V10:V11)</f>
        <v>2235297.7693080897</v>
      </c>
      <c r="Y10" s="105" t="s">
        <v>138</v>
      </c>
    </row>
    <row r="11" spans="1:32" x14ac:dyDescent="0.25">
      <c r="A11" s="1" t="s">
        <v>20</v>
      </c>
      <c r="B11" s="119"/>
      <c r="C11" s="15" t="s">
        <v>19</v>
      </c>
      <c r="D11" s="121"/>
      <c r="E11" s="25">
        <v>0</v>
      </c>
      <c r="F11" s="17">
        <v>100</v>
      </c>
      <c r="G11" s="11">
        <f t="shared" ref="G11:G12" si="3">((20*E11)*(1000/2))*F11</f>
        <v>0</v>
      </c>
      <c r="H11" s="135"/>
      <c r="I11" s="12" t="e">
        <f>I10/H10*100</f>
        <v>#DIV/0!</v>
      </c>
      <c r="J11" s="106"/>
      <c r="P11" s="19" t="s">
        <v>20</v>
      </c>
      <c r="Q11" s="117"/>
      <c r="R11" s="20" t="s">
        <v>19</v>
      </c>
      <c r="S11" s="115"/>
      <c r="T11" s="27">
        <v>5.0758132934570304</v>
      </c>
      <c r="U11" s="22">
        <v>100</v>
      </c>
      <c r="V11" s="22">
        <f t="shared" si="0"/>
        <v>5075813.2934570303</v>
      </c>
      <c r="W11" s="135"/>
      <c r="X11" s="12">
        <f t="shared" ref="X11" si="4">X10/W10*100</f>
        <v>78.693383306814241</v>
      </c>
      <c r="Y11" s="106"/>
    </row>
    <row r="12" spans="1:32" x14ac:dyDescent="0.25">
      <c r="A12" s="1" t="s">
        <v>21</v>
      </c>
      <c r="B12" s="118" t="s">
        <v>110</v>
      </c>
      <c r="C12" s="2" t="s">
        <v>22</v>
      </c>
      <c r="D12" s="120" t="s">
        <v>152</v>
      </c>
      <c r="E12" s="26">
        <v>193.32196044921901</v>
      </c>
      <c r="F12" s="16">
        <v>28600</v>
      </c>
      <c r="G12" s="11">
        <f>((20*E12)*(1000/2))*F12</f>
        <v>55290080688.476639</v>
      </c>
      <c r="H12" s="134">
        <f>AVERAGE(G12,G13)</f>
        <v>55825067306.518661</v>
      </c>
      <c r="I12" s="11">
        <f t="shared" ref="I12" si="5">_xlfn.STDEV.P(G12:G13)</f>
        <v>534986618.04201889</v>
      </c>
      <c r="J12" s="105" t="s">
        <v>138</v>
      </c>
      <c r="O12" t="s">
        <v>152</v>
      </c>
      <c r="P12" s="19" t="s">
        <v>21</v>
      </c>
      <c r="Q12" s="173">
        <v>28600</v>
      </c>
      <c r="R12" s="20" t="s">
        <v>22</v>
      </c>
      <c r="S12" s="114" t="s">
        <v>152</v>
      </c>
      <c r="T12" s="27">
        <v>169.78785705566401</v>
      </c>
      <c r="U12" s="22">
        <v>28600</v>
      </c>
      <c r="V12" s="22">
        <f t="shared" si="0"/>
        <v>48559327117.919907</v>
      </c>
      <c r="W12" s="134">
        <f t="shared" ref="W12" si="6">AVERAGE(V12,V13)</f>
        <v>48136801132.202209</v>
      </c>
      <c r="X12" s="11">
        <f t="shared" ref="X12" si="7">_xlfn.STDEV.P(V12:V13)</f>
        <v>422525985.71769714</v>
      </c>
      <c r="Y12" s="105" t="s">
        <v>138</v>
      </c>
    </row>
    <row r="13" spans="1:32" x14ac:dyDescent="0.25">
      <c r="A13" s="1" t="s">
        <v>23</v>
      </c>
      <c r="B13" s="119"/>
      <c r="C13" s="2" t="s">
        <v>22</v>
      </c>
      <c r="D13" s="121"/>
      <c r="E13" s="26">
        <v>197.06312561035199</v>
      </c>
      <c r="F13" s="17">
        <v>28600</v>
      </c>
      <c r="G13" s="11">
        <f t="shared" ref="G13:G53" si="8">((20*E13)*(1000/2))*F13</f>
        <v>56360053924.560677</v>
      </c>
      <c r="H13" s="135"/>
      <c r="I13" s="12">
        <f t="shared" ref="I13" si="9">I12/H12*100</f>
        <v>0.95832686614521789</v>
      </c>
      <c r="J13" s="106"/>
      <c r="P13" s="19" t="s">
        <v>23</v>
      </c>
      <c r="Q13" s="117"/>
      <c r="R13" s="20" t="s">
        <v>22</v>
      </c>
      <c r="S13" s="115"/>
      <c r="T13" s="27">
        <v>166.83312988281301</v>
      </c>
      <c r="U13" s="22">
        <v>28600</v>
      </c>
      <c r="V13" s="22">
        <f t="shared" si="0"/>
        <v>47714275146.484512</v>
      </c>
      <c r="W13" s="135"/>
      <c r="X13" s="12">
        <f t="shared" ref="X13" si="10">X12/W12*100</f>
        <v>0.87776083117213766</v>
      </c>
      <c r="Y13" s="106"/>
    </row>
    <row r="14" spans="1:32" x14ac:dyDescent="0.25">
      <c r="A14" s="1" t="s">
        <v>24</v>
      </c>
      <c r="B14" s="118" t="s">
        <v>110</v>
      </c>
      <c r="C14" s="2" t="s">
        <v>25</v>
      </c>
      <c r="D14" s="120" t="s">
        <v>153</v>
      </c>
      <c r="E14" s="26">
        <v>279.06915283203102</v>
      </c>
      <c r="F14" s="16">
        <v>50000</v>
      </c>
      <c r="G14" s="11">
        <f t="shared" si="8"/>
        <v>139534576416.0155</v>
      </c>
      <c r="H14" s="134">
        <f t="shared" ref="H14" si="11">AVERAGE(G14,G15)</f>
        <v>139838912963.86725</v>
      </c>
      <c r="I14" s="11">
        <f t="shared" ref="I14" si="12">_xlfn.STDEV.P(G14:G15)</f>
        <v>304336547.85174561</v>
      </c>
      <c r="J14" s="105" t="s">
        <v>138</v>
      </c>
      <c r="O14" t="s">
        <v>153</v>
      </c>
      <c r="P14" s="19" t="s">
        <v>24</v>
      </c>
      <c r="Q14" s="116">
        <v>50000</v>
      </c>
      <c r="R14" s="20" t="s">
        <v>25</v>
      </c>
      <c r="S14" s="114" t="s">
        <v>153</v>
      </c>
      <c r="T14" s="27">
        <v>402.81878662109398</v>
      </c>
      <c r="U14" s="22">
        <v>50000</v>
      </c>
      <c r="V14" s="22">
        <f t="shared" si="0"/>
        <v>201409393310.547</v>
      </c>
      <c r="W14" s="134">
        <f t="shared" ref="W14" si="13">AVERAGE(V14,V15)</f>
        <v>199629959106.4455</v>
      </c>
      <c r="X14" s="11">
        <f t="shared" ref="X14" si="14">_xlfn.STDEV.P(V14:V15)</f>
        <v>1779434204.1015015</v>
      </c>
      <c r="Y14" s="105" t="s">
        <v>138</v>
      </c>
    </row>
    <row r="15" spans="1:32" x14ac:dyDescent="0.25">
      <c r="A15" s="1" t="s">
        <v>26</v>
      </c>
      <c r="B15" s="119"/>
      <c r="C15" s="2" t="s">
        <v>25</v>
      </c>
      <c r="D15" s="121"/>
      <c r="E15" s="26">
        <v>280.28649902343801</v>
      </c>
      <c r="F15" s="17">
        <v>50000</v>
      </c>
      <c r="G15" s="11">
        <f t="shared" si="8"/>
        <v>140143249511.71899</v>
      </c>
      <c r="H15" s="135"/>
      <c r="I15" s="12">
        <f t="shared" ref="I15" si="15">I14/H14*100</f>
        <v>0.21763366247732679</v>
      </c>
      <c r="J15" s="106"/>
      <c r="P15" s="19" t="s">
        <v>26</v>
      </c>
      <c r="Q15" s="117"/>
      <c r="R15" s="20" t="s">
        <v>25</v>
      </c>
      <c r="S15" s="115"/>
      <c r="T15" s="27">
        <v>395.70104980468801</v>
      </c>
      <c r="U15" s="22">
        <v>50000</v>
      </c>
      <c r="V15" s="22">
        <f t="shared" si="0"/>
        <v>197850524902.34399</v>
      </c>
      <c r="W15" s="135"/>
      <c r="X15" s="12">
        <f t="shared" ref="X15" si="16">X14/W14*100</f>
        <v>0.89136631198360483</v>
      </c>
      <c r="Y15" s="106"/>
    </row>
    <row r="16" spans="1:32" x14ac:dyDescent="0.25">
      <c r="A16" s="1" t="s">
        <v>27</v>
      </c>
      <c r="B16" s="118" t="s">
        <v>110</v>
      </c>
      <c r="C16" s="2" t="s">
        <v>28</v>
      </c>
      <c r="D16" s="120" t="s">
        <v>154</v>
      </c>
      <c r="E16" s="26">
        <v>85.709144592285199</v>
      </c>
      <c r="F16" s="16">
        <v>500000</v>
      </c>
      <c r="G16" s="11">
        <f t="shared" si="8"/>
        <v>428545722961.42603</v>
      </c>
      <c r="H16" s="95">
        <f t="shared" ref="H16" si="17">AVERAGE(G16,G17)</f>
        <v>431259727478.02747</v>
      </c>
      <c r="I16" s="11">
        <f t="shared" ref="I16" si="18">_xlfn.STDEV.P(G16:G17)</f>
        <v>2714004516.6014709</v>
      </c>
      <c r="J16" s="3"/>
      <c r="K16" s="95">
        <v>420000000000</v>
      </c>
      <c r="L16" s="97">
        <f>AVERAGE(H16,K16)</f>
        <v>425629863739.01373</v>
      </c>
      <c r="M16" s="99">
        <f>100*_xlfn.STDEV.P(H16,K16)/L16</f>
        <v>1.3227135167530992</v>
      </c>
      <c r="N16" s="100">
        <f>H16/K16</f>
        <v>1.0268088749476845</v>
      </c>
      <c r="O16" t="s">
        <v>154</v>
      </c>
      <c r="P16" s="19" t="s">
        <v>27</v>
      </c>
      <c r="Q16" s="116">
        <v>500000</v>
      </c>
      <c r="R16" s="20" t="s">
        <v>28</v>
      </c>
      <c r="S16" s="114" t="s">
        <v>154</v>
      </c>
      <c r="T16" s="27">
        <v>125.845252990723</v>
      </c>
      <c r="U16" s="22">
        <v>500000</v>
      </c>
      <c r="V16" s="22">
        <f t="shared" si="0"/>
        <v>629226264953.61499</v>
      </c>
      <c r="W16" s="125">
        <f t="shared" ref="W16" si="19">AVERAGE(V16,V17)</f>
        <v>631845188140.87</v>
      </c>
      <c r="X16" s="11">
        <f t="shared" ref="X16" si="20">_xlfn.STDEV.P(V16:V17)</f>
        <v>2618923187.2550049</v>
      </c>
      <c r="Y16" s="21"/>
    </row>
    <row r="17" spans="1:25" x14ac:dyDescent="0.25">
      <c r="A17" s="1" t="s">
        <v>29</v>
      </c>
      <c r="B17" s="119"/>
      <c r="C17" s="2" t="s">
        <v>28</v>
      </c>
      <c r="D17" s="121"/>
      <c r="E17" s="26">
        <v>86.794746398925795</v>
      </c>
      <c r="F17" s="17">
        <v>500000</v>
      </c>
      <c r="G17" s="11">
        <f t="shared" si="8"/>
        <v>433973731994.62897</v>
      </c>
      <c r="H17" s="96"/>
      <c r="I17" s="12">
        <f t="shared" ref="I17" si="21">I16/H16*100</f>
        <v>0.62932018541883172</v>
      </c>
      <c r="J17" s="3"/>
      <c r="K17" s="96"/>
      <c r="L17" s="98"/>
      <c r="M17" s="99"/>
      <c r="N17" s="100"/>
      <c r="P17" s="19" t="s">
        <v>29</v>
      </c>
      <c r="Q17" s="117"/>
      <c r="R17" s="20" t="s">
        <v>28</v>
      </c>
      <c r="S17" s="115"/>
      <c r="T17" s="27">
        <v>126.892822265625</v>
      </c>
      <c r="U17" s="22">
        <v>500000</v>
      </c>
      <c r="V17" s="22">
        <f t="shared" si="0"/>
        <v>634464111328.125</v>
      </c>
      <c r="W17" s="126"/>
      <c r="X17" s="12">
        <f t="shared" ref="X17" si="22">X16/W16*100</f>
        <v>0.41448811139337433</v>
      </c>
      <c r="Y17" s="21"/>
    </row>
    <row r="18" spans="1:25" x14ac:dyDescent="0.25">
      <c r="A18" s="1" t="s">
        <v>30</v>
      </c>
      <c r="B18" s="118" t="s">
        <v>110</v>
      </c>
      <c r="C18" s="2" t="s">
        <v>31</v>
      </c>
      <c r="D18" s="120">
        <v>2.12</v>
      </c>
      <c r="E18" s="26">
        <v>0</v>
      </c>
      <c r="F18" s="16">
        <v>50000</v>
      </c>
      <c r="G18" s="11">
        <f t="shared" si="8"/>
        <v>0</v>
      </c>
      <c r="H18" s="95">
        <f t="shared" ref="H18" si="23">AVERAGE(G18,G19)</f>
        <v>0</v>
      </c>
      <c r="I18" s="11">
        <f t="shared" ref="I18" si="24">_xlfn.STDEV.P(G18:G19)</f>
        <v>0</v>
      </c>
      <c r="J18" s="112" t="s">
        <v>139</v>
      </c>
      <c r="K18" s="107">
        <v>2000000000000</v>
      </c>
      <c r="L18" s="109">
        <f t="shared" ref="L18" si="25">AVERAGE(H18,K18)</f>
        <v>1000000000000</v>
      </c>
      <c r="M18" s="111">
        <f t="shared" ref="M18" si="26">100*_xlfn.STDEV.P(H18,K18)/L18</f>
        <v>100</v>
      </c>
      <c r="N18" s="100">
        <f t="shared" ref="N18" si="27">H18/K18</f>
        <v>0</v>
      </c>
      <c r="O18">
        <v>2.12</v>
      </c>
      <c r="P18" s="19" t="s">
        <v>30</v>
      </c>
      <c r="Q18" s="116">
        <v>50000</v>
      </c>
      <c r="R18" s="20" t="s">
        <v>31</v>
      </c>
      <c r="S18" s="114">
        <v>2.12</v>
      </c>
      <c r="T18" s="27">
        <v>0.16250647604465501</v>
      </c>
      <c r="U18" s="22">
        <v>50000</v>
      </c>
      <c r="V18" s="22">
        <f t="shared" si="0"/>
        <v>81253238.022327513</v>
      </c>
      <c r="W18" s="125">
        <f t="shared" ref="W18" si="28">AVERAGE(V18,V19)</f>
        <v>123050358.146429</v>
      </c>
      <c r="X18" s="11">
        <f t="shared" ref="X18" si="29">_xlfn.STDEV.P(V18:V19)</f>
        <v>41797120.12410149</v>
      </c>
      <c r="Y18" s="112" t="s">
        <v>139</v>
      </c>
    </row>
    <row r="19" spans="1:25" x14ac:dyDescent="0.25">
      <c r="A19" s="1" t="s">
        <v>32</v>
      </c>
      <c r="B19" s="119"/>
      <c r="C19" s="2" t="s">
        <v>31</v>
      </c>
      <c r="D19" s="121"/>
      <c r="E19" s="26">
        <v>0</v>
      </c>
      <c r="F19" s="17">
        <v>50000</v>
      </c>
      <c r="G19" s="11">
        <f t="shared" si="8"/>
        <v>0</v>
      </c>
      <c r="H19" s="96"/>
      <c r="I19" s="12" t="e">
        <f t="shared" ref="I19" si="30">I18/H18*100</f>
        <v>#DIV/0!</v>
      </c>
      <c r="J19" s="112"/>
      <c r="K19" s="108"/>
      <c r="L19" s="110"/>
      <c r="M19" s="111"/>
      <c r="N19" s="100"/>
      <c r="P19" s="19" t="s">
        <v>32</v>
      </c>
      <c r="Q19" s="117"/>
      <c r="R19" s="20" t="s">
        <v>31</v>
      </c>
      <c r="S19" s="115"/>
      <c r="T19" s="27">
        <v>0.32969495654106101</v>
      </c>
      <c r="U19" s="22">
        <v>50000</v>
      </c>
      <c r="V19" s="22">
        <f t="shared" si="0"/>
        <v>164847478.27053049</v>
      </c>
      <c r="W19" s="126"/>
      <c r="X19" s="12">
        <f t="shared" ref="X19" si="31">X18/W18*100</f>
        <v>33.967491646276422</v>
      </c>
      <c r="Y19" s="112"/>
    </row>
    <row r="20" spans="1:25" x14ac:dyDescent="0.25">
      <c r="A20" s="1" t="s">
        <v>33</v>
      </c>
      <c r="B20" s="118" t="s">
        <v>110</v>
      </c>
      <c r="C20" s="2" t="s">
        <v>34</v>
      </c>
      <c r="D20" s="120">
        <v>2.19</v>
      </c>
      <c r="E20" s="26">
        <v>88.346969604492202</v>
      </c>
      <c r="F20" s="16">
        <v>500000</v>
      </c>
      <c r="G20" s="11">
        <f t="shared" si="8"/>
        <v>441734848022.461</v>
      </c>
      <c r="H20" s="95">
        <f t="shared" ref="H20" si="32">AVERAGE(G20,G21)</f>
        <v>444708232879.63873</v>
      </c>
      <c r="I20" s="11">
        <f t="shared" ref="I20" si="33">_xlfn.STDEV.P(G20:G21)</f>
        <v>2973384857.1777344</v>
      </c>
      <c r="J20" s="3"/>
      <c r="K20" s="95">
        <v>420000000000</v>
      </c>
      <c r="L20" s="97">
        <f t="shared" ref="L20" si="34">AVERAGE(H20,K20)</f>
        <v>432354116439.81934</v>
      </c>
      <c r="M20" s="99">
        <f t="shared" ref="M20" si="35">100*_xlfn.STDEV.P(H20,K20)/L20</f>
        <v>2.8574069194826253</v>
      </c>
      <c r="N20" s="100">
        <f t="shared" ref="N20" si="36">H20/K20</f>
        <v>1.0588291259039018</v>
      </c>
      <c r="O20">
        <v>2.19</v>
      </c>
      <c r="P20" s="19" t="s">
        <v>33</v>
      </c>
      <c r="Q20" s="116">
        <v>500000</v>
      </c>
      <c r="R20" s="20" t="s">
        <v>34</v>
      </c>
      <c r="S20" s="114">
        <v>2.19</v>
      </c>
      <c r="T20" s="27">
        <v>129.30986022949199</v>
      </c>
      <c r="U20" s="22">
        <v>500000</v>
      </c>
      <c r="V20" s="22">
        <f t="shared" si="0"/>
        <v>646549301147.45984</v>
      </c>
      <c r="W20" s="125">
        <f t="shared" ref="W20" si="37">AVERAGE(V20,V21)</f>
        <v>647004661560.05737</v>
      </c>
      <c r="X20" s="11">
        <f t="shared" ref="X20" si="38">_xlfn.STDEV.P(V20:V21)</f>
        <v>455360412.59759521</v>
      </c>
      <c r="Y20" s="21"/>
    </row>
    <row r="21" spans="1:25" x14ac:dyDescent="0.25">
      <c r="A21" s="1" t="s">
        <v>35</v>
      </c>
      <c r="B21" s="119"/>
      <c r="C21" s="2" t="s">
        <v>34</v>
      </c>
      <c r="D21" s="121"/>
      <c r="E21" s="26">
        <v>89.536323547363295</v>
      </c>
      <c r="F21" s="17">
        <v>500000</v>
      </c>
      <c r="G21" s="11">
        <f t="shared" si="8"/>
        <v>447681617736.81647</v>
      </c>
      <c r="H21" s="96"/>
      <c r="I21" s="12">
        <f t="shared" ref="I21" si="39">I20/H20*100</f>
        <v>0.66861475397566728</v>
      </c>
      <c r="J21" s="3"/>
      <c r="K21" s="96"/>
      <c r="L21" s="98"/>
      <c r="M21" s="99"/>
      <c r="N21" s="100"/>
      <c r="P21" s="19" t="s">
        <v>35</v>
      </c>
      <c r="Q21" s="117"/>
      <c r="R21" s="20" t="s">
        <v>34</v>
      </c>
      <c r="S21" s="115"/>
      <c r="T21" s="27">
        <v>129.49200439453099</v>
      </c>
      <c r="U21" s="22">
        <v>500000</v>
      </c>
      <c r="V21" s="22">
        <f t="shared" si="0"/>
        <v>647460021972.65503</v>
      </c>
      <c r="W21" s="126"/>
      <c r="X21" s="12">
        <f t="shared" ref="X21" si="40">X20/W20*100</f>
        <v>7.0379773076074972E-2</v>
      </c>
      <c r="Y21" s="21"/>
    </row>
    <row r="22" spans="1:25" x14ac:dyDescent="0.25">
      <c r="A22" s="1" t="s">
        <v>36</v>
      </c>
      <c r="B22" s="118" t="s">
        <v>110</v>
      </c>
      <c r="C22" s="2" t="s">
        <v>37</v>
      </c>
      <c r="D22" s="120" t="s">
        <v>155</v>
      </c>
      <c r="E22" s="26">
        <v>84.823394775390597</v>
      </c>
      <c r="F22" s="16">
        <v>500000</v>
      </c>
      <c r="G22" s="11">
        <f t="shared" si="8"/>
        <v>424116973876.953</v>
      </c>
      <c r="H22" s="95">
        <f t="shared" ref="H22" si="41">AVERAGE(G22,G23)</f>
        <v>425055522918.70099</v>
      </c>
      <c r="I22" s="11">
        <f t="shared" ref="I22" si="42">_xlfn.STDEV.P(G22:G23)</f>
        <v>938549041.74798584</v>
      </c>
      <c r="J22" s="3"/>
      <c r="K22" s="95">
        <v>420000000000</v>
      </c>
      <c r="L22" s="97">
        <f t="shared" ref="L22" si="43">AVERAGE(H22,K22)</f>
        <v>422527761459.35046</v>
      </c>
      <c r="M22" s="99">
        <f t="shared" ref="M22" si="44">100*_xlfn.STDEV.P(H22,K22)/L22</f>
        <v>0.59824742654067697</v>
      </c>
      <c r="N22" s="100">
        <f t="shared" ref="N22" si="45">H22/K22</f>
        <v>1.0120369593302405</v>
      </c>
      <c r="O22" t="s">
        <v>155</v>
      </c>
      <c r="P22" s="19" t="s">
        <v>36</v>
      </c>
      <c r="Q22" s="116">
        <v>500000</v>
      </c>
      <c r="R22" s="20" t="s">
        <v>37</v>
      </c>
      <c r="S22" s="114" t="s">
        <v>155</v>
      </c>
      <c r="T22" s="27">
        <v>123.68984222412099</v>
      </c>
      <c r="U22" s="22">
        <v>500000</v>
      </c>
      <c r="V22" s="22">
        <f t="shared" si="0"/>
        <v>618449211120.60498</v>
      </c>
      <c r="W22" s="125">
        <f t="shared" ref="W22" si="46">AVERAGE(V22,V23)</f>
        <v>620649795532.22754</v>
      </c>
      <c r="X22" s="11">
        <f t="shared" ref="X22" si="47">_xlfn.STDEV.P(V22:V23)</f>
        <v>2200584411.6225586</v>
      </c>
      <c r="Y22" s="21"/>
    </row>
    <row r="23" spans="1:25" x14ac:dyDescent="0.25">
      <c r="A23" s="1" t="s">
        <v>38</v>
      </c>
      <c r="B23" s="119"/>
      <c r="C23" s="2" t="s">
        <v>37</v>
      </c>
      <c r="D23" s="121"/>
      <c r="E23" s="26">
        <v>85.198814392089801</v>
      </c>
      <c r="F23" s="17">
        <v>500000</v>
      </c>
      <c r="G23" s="11">
        <f t="shared" si="8"/>
        <v>425994071960.44897</v>
      </c>
      <c r="H23" s="96"/>
      <c r="I23" s="12">
        <f t="shared" ref="I23" si="48">I22/H22*100</f>
        <v>0.2208062220444314</v>
      </c>
      <c r="J23" s="3"/>
      <c r="K23" s="96"/>
      <c r="L23" s="98"/>
      <c r="M23" s="99"/>
      <c r="N23" s="100"/>
      <c r="P23" s="19" t="s">
        <v>38</v>
      </c>
      <c r="Q23" s="117"/>
      <c r="R23" s="20" t="s">
        <v>37</v>
      </c>
      <c r="S23" s="115"/>
      <c r="T23" s="27">
        <v>124.57007598877</v>
      </c>
      <c r="U23" s="22">
        <v>500000</v>
      </c>
      <c r="V23" s="22">
        <f t="shared" si="0"/>
        <v>622850379943.8501</v>
      </c>
      <c r="W23" s="126"/>
      <c r="X23" s="12">
        <f t="shared" ref="X23" si="49">X22/W22*100</f>
        <v>0.35456136898192087</v>
      </c>
      <c r="Y23" s="21"/>
    </row>
    <row r="24" spans="1:25" x14ac:dyDescent="0.25">
      <c r="A24" s="1" t="s">
        <v>39</v>
      </c>
      <c r="B24" s="118" t="s">
        <v>110</v>
      </c>
      <c r="C24" s="2" t="s">
        <v>40</v>
      </c>
      <c r="D24" s="120" t="s">
        <v>156</v>
      </c>
      <c r="E24" s="26">
        <v>489.73660278320301</v>
      </c>
      <c r="F24" s="16">
        <v>500000</v>
      </c>
      <c r="G24" s="11">
        <f t="shared" si="8"/>
        <v>2448683013916.0151</v>
      </c>
      <c r="H24" s="95">
        <f t="shared" ref="H24" si="50">AVERAGE(G24,G25)</f>
        <v>2395161361694.335</v>
      </c>
      <c r="I24" s="11">
        <f t="shared" ref="I24" si="51">_xlfn.STDEV.P(G24:G25)</f>
        <v>53521652221.679932</v>
      </c>
      <c r="J24" s="3"/>
      <c r="K24" s="95">
        <v>2080000000000</v>
      </c>
      <c r="L24" s="97">
        <f t="shared" ref="L24" si="52">AVERAGE(H24,K24)</f>
        <v>2237580680847.1675</v>
      </c>
      <c r="M24" s="99">
        <f t="shared" ref="M24" si="53">100*_xlfn.STDEV.P(H24,K24)/L24</f>
        <v>7.0424580528424148</v>
      </c>
      <c r="N24" s="100">
        <f t="shared" ref="N24" si="54">H24/K24</f>
        <v>1.1515198854299686</v>
      </c>
      <c r="O24" t="s">
        <v>156</v>
      </c>
      <c r="P24" s="19" t="s">
        <v>39</v>
      </c>
      <c r="Q24" s="116">
        <v>500000</v>
      </c>
      <c r="R24" s="20" t="s">
        <v>40</v>
      </c>
      <c r="S24" s="114" t="s">
        <v>156</v>
      </c>
      <c r="T24" s="27">
        <v>716.54376220703102</v>
      </c>
      <c r="U24" s="22">
        <v>500000</v>
      </c>
      <c r="V24" s="22">
        <f t="shared" si="0"/>
        <v>3582718811035.1553</v>
      </c>
      <c r="W24" s="125">
        <f t="shared" ref="W24" si="55">AVERAGE(V24,V25)</f>
        <v>3476680145263.6729</v>
      </c>
      <c r="X24" s="11">
        <f t="shared" ref="X24" si="56">_xlfn.STDEV.P(V24:V25)</f>
        <v>106038665771.48267</v>
      </c>
      <c r="Y24" s="21"/>
    </row>
    <row r="25" spans="1:25" x14ac:dyDescent="0.25">
      <c r="A25" s="1" t="s">
        <v>41</v>
      </c>
      <c r="B25" s="119"/>
      <c r="C25" s="2" t="s">
        <v>40</v>
      </c>
      <c r="D25" s="121"/>
      <c r="E25" s="26">
        <v>468.32794189453102</v>
      </c>
      <c r="F25" s="17">
        <v>500000</v>
      </c>
      <c r="G25" s="11">
        <f t="shared" si="8"/>
        <v>2341639709472.6553</v>
      </c>
      <c r="H25" s="96"/>
      <c r="I25" s="12">
        <f t="shared" ref="I25" si="57">I24/H24*100</f>
        <v>2.2345739655644228</v>
      </c>
      <c r="J25" s="3"/>
      <c r="K25" s="96"/>
      <c r="L25" s="98"/>
      <c r="M25" s="99"/>
      <c r="N25" s="100"/>
      <c r="P25" s="19" t="s">
        <v>41</v>
      </c>
      <c r="Q25" s="117"/>
      <c r="R25" s="20" t="s">
        <v>40</v>
      </c>
      <c r="S25" s="115"/>
      <c r="T25" s="27">
        <v>674.12829589843795</v>
      </c>
      <c r="U25" s="22">
        <v>500000</v>
      </c>
      <c r="V25" s="22">
        <f t="shared" si="0"/>
        <v>3370641479492.1899</v>
      </c>
      <c r="W25" s="126"/>
      <c r="X25" s="12">
        <f t="shared" ref="X25" si="58">X24/W24*100</f>
        <v>3.0499977375238423</v>
      </c>
      <c r="Y25" s="21"/>
    </row>
    <row r="26" spans="1:25" x14ac:dyDescent="0.25">
      <c r="A26" s="1" t="s">
        <v>42</v>
      </c>
      <c r="B26" s="118" t="s">
        <v>110</v>
      </c>
      <c r="C26" s="2" t="s">
        <v>43</v>
      </c>
      <c r="D26" s="120" t="s">
        <v>157</v>
      </c>
      <c r="E26" s="26">
        <v>84.873382568359403</v>
      </c>
      <c r="F26" s="16">
        <v>500000</v>
      </c>
      <c r="G26" s="11">
        <f>((20*E26)*(1000/2))*F26</f>
        <v>424366912841.797</v>
      </c>
      <c r="H26" s="95">
        <f t="shared" ref="H26" si="59">AVERAGE(G26,G27)</f>
        <v>408961811065.67401</v>
      </c>
      <c r="I26" s="11">
        <f t="shared" ref="I26" si="60">_xlfn.STDEV.P(G26:G27)</f>
        <v>15405101776.122986</v>
      </c>
      <c r="J26" s="3"/>
      <c r="K26" s="95">
        <v>420000000000</v>
      </c>
      <c r="L26" s="97">
        <f t="shared" ref="L26" si="61">AVERAGE(H26,K26)</f>
        <v>414480905532.83704</v>
      </c>
      <c r="M26" s="99">
        <f t="shared" ref="M26" si="62">100*_xlfn.STDEV.P(H26,K26)/L26</f>
        <v>1.331567846308362</v>
      </c>
      <c r="N26" s="100">
        <f t="shared" ref="N26" si="63">H26/K26</f>
        <v>0.97371859777541436</v>
      </c>
      <c r="O26" t="s">
        <v>157</v>
      </c>
      <c r="P26" s="19" t="s">
        <v>42</v>
      </c>
      <c r="Q26" s="116">
        <v>500000</v>
      </c>
      <c r="R26" s="20" t="s">
        <v>43</v>
      </c>
      <c r="S26" s="114" t="s">
        <v>157</v>
      </c>
      <c r="T26" s="27">
        <v>125.49397277832</v>
      </c>
      <c r="U26" s="22">
        <v>500000</v>
      </c>
      <c r="V26" s="22">
        <f t="shared" si="0"/>
        <v>627469863891.59998</v>
      </c>
      <c r="W26" s="125">
        <f t="shared" ref="W26" si="64">AVERAGE(V26,V27)</f>
        <v>607928009033.20239</v>
      </c>
      <c r="X26" s="11">
        <f t="shared" ref="X26" si="65">_xlfn.STDEV.P(V26:V27)</f>
        <v>19541854858.397522</v>
      </c>
      <c r="Y26" s="21"/>
    </row>
    <row r="27" spans="1:25" x14ac:dyDescent="0.25">
      <c r="A27" s="1" t="s">
        <v>44</v>
      </c>
      <c r="B27" s="119"/>
      <c r="C27" s="2" t="s">
        <v>43</v>
      </c>
      <c r="D27" s="121"/>
      <c r="E27" s="26">
        <v>78.711341857910199</v>
      </c>
      <c r="F27" s="17">
        <v>500000</v>
      </c>
      <c r="G27" s="11">
        <f t="shared" si="8"/>
        <v>393556709289.55103</v>
      </c>
      <c r="H27" s="96"/>
      <c r="I27" s="12">
        <f t="shared" ref="I27" si="66">I26/H26*100</f>
        <v>3.7668802707960238</v>
      </c>
      <c r="J27" s="3"/>
      <c r="K27" s="96"/>
      <c r="L27" s="98"/>
      <c r="M27" s="99"/>
      <c r="N27" s="100"/>
      <c r="P27" s="19" t="s">
        <v>44</v>
      </c>
      <c r="Q27" s="117"/>
      <c r="R27" s="20" t="s">
        <v>43</v>
      </c>
      <c r="S27" s="115"/>
      <c r="T27" s="27">
        <v>117.67723083496099</v>
      </c>
      <c r="U27" s="22">
        <v>500000</v>
      </c>
      <c r="V27" s="22">
        <f t="shared" si="0"/>
        <v>588386154174.80493</v>
      </c>
      <c r="W27" s="126"/>
      <c r="X27" s="12">
        <f t="shared" ref="X27" si="67">X26/W26*100</f>
        <v>3.2145014817585462</v>
      </c>
      <c r="Y27" s="21"/>
    </row>
    <row r="28" spans="1:25" x14ac:dyDescent="0.25">
      <c r="A28" s="1" t="s">
        <v>45</v>
      </c>
      <c r="B28" s="118" t="s">
        <v>110</v>
      </c>
      <c r="C28" s="2" t="s">
        <v>46</v>
      </c>
      <c r="D28" s="120" t="s">
        <v>158</v>
      </c>
      <c r="E28" s="26">
        <v>504.10528564453102</v>
      </c>
      <c r="F28" s="16">
        <v>500000</v>
      </c>
      <c r="G28" s="11">
        <f t="shared" si="8"/>
        <v>2520526428222.6553</v>
      </c>
      <c r="H28" s="95">
        <f t="shared" ref="H28" si="68">AVERAGE(G28,G29)</f>
        <v>2527445373535.1553</v>
      </c>
      <c r="I28" s="11">
        <f t="shared" ref="I28" si="69">_xlfn.STDEV.P(G28:G29)</f>
        <v>6918945312.5</v>
      </c>
      <c r="J28" s="3"/>
      <c r="K28" s="95">
        <v>2080000000000</v>
      </c>
      <c r="L28" s="97">
        <f t="shared" ref="L28" si="70">AVERAGE(H28,K28)</f>
        <v>2303722686767.5776</v>
      </c>
      <c r="M28" s="99">
        <f t="shared" ref="M28" si="71">100*_xlfn.STDEV.P(H28,K28)/L28</f>
        <v>9.7113549322852606</v>
      </c>
      <c r="N28" s="100">
        <f t="shared" ref="N28" si="72">H28/K28</f>
        <v>1.2151179680457478</v>
      </c>
      <c r="O28" t="s">
        <v>158</v>
      </c>
      <c r="P28" s="19" t="s">
        <v>45</v>
      </c>
      <c r="Q28" s="116">
        <v>500000</v>
      </c>
      <c r="R28" s="20" t="s">
        <v>46</v>
      </c>
      <c r="S28" s="114" t="s">
        <v>158</v>
      </c>
      <c r="T28" s="27">
        <v>744.91058349609398</v>
      </c>
      <c r="U28" s="22">
        <v>500000</v>
      </c>
      <c r="V28" s="22">
        <f t="shared" si="0"/>
        <v>3724552917480.4697</v>
      </c>
      <c r="W28" s="125">
        <f t="shared" ref="W28" si="73">AVERAGE(V28,V29)</f>
        <v>3688557891845.7051</v>
      </c>
      <c r="X28" s="11">
        <f t="shared" ref="X28" si="74">_xlfn.STDEV.P(V28:V29)</f>
        <v>35995025634.764893</v>
      </c>
      <c r="Y28" s="21"/>
    </row>
    <row r="29" spans="1:25" x14ac:dyDescent="0.25">
      <c r="A29" s="1" t="s">
        <v>47</v>
      </c>
      <c r="B29" s="119"/>
      <c r="C29" s="2" t="s">
        <v>46</v>
      </c>
      <c r="D29" s="121"/>
      <c r="E29" s="26">
        <v>506.87286376953102</v>
      </c>
      <c r="F29" s="17">
        <v>500000</v>
      </c>
      <c r="G29" s="11">
        <f t="shared" si="8"/>
        <v>2534364318847.6553</v>
      </c>
      <c r="H29" s="96"/>
      <c r="I29" s="12">
        <f t="shared" ref="I29" si="75">I28/H28*100</f>
        <v>0.27375251647169818</v>
      </c>
      <c r="J29" s="3"/>
      <c r="K29" s="96"/>
      <c r="L29" s="98"/>
      <c r="M29" s="99"/>
      <c r="N29" s="100"/>
      <c r="P29" s="19" t="s">
        <v>47</v>
      </c>
      <c r="Q29" s="117"/>
      <c r="R29" s="20" t="s">
        <v>46</v>
      </c>
      <c r="S29" s="115"/>
      <c r="T29" s="27">
        <v>730.51257324218795</v>
      </c>
      <c r="U29" s="22">
        <v>500000</v>
      </c>
      <c r="V29" s="22">
        <f t="shared" si="0"/>
        <v>3652562866210.9399</v>
      </c>
      <c r="W29" s="126"/>
      <c r="X29" s="12">
        <f t="shared" ref="X29" si="76">X28/W28*100</f>
        <v>0.97585632895552754</v>
      </c>
      <c r="Y29" s="21"/>
    </row>
    <row r="30" spans="1:25" x14ac:dyDescent="0.25">
      <c r="A30" s="1" t="s">
        <v>48</v>
      </c>
      <c r="B30" s="118" t="s">
        <v>110</v>
      </c>
      <c r="C30" s="2" t="s">
        <v>49</v>
      </c>
      <c r="D30" s="120" t="s">
        <v>159</v>
      </c>
      <c r="E30" s="26">
        <v>91.531379699707003</v>
      </c>
      <c r="F30" s="16">
        <v>500000</v>
      </c>
      <c r="G30" s="11">
        <f t="shared" si="8"/>
        <v>457656898498.53503</v>
      </c>
      <c r="H30" s="95">
        <f t="shared" ref="H30" si="77">AVERAGE(G30,G31)</f>
        <v>451180419921.875</v>
      </c>
      <c r="I30" s="11">
        <f t="shared" ref="I30" si="78">_xlfn.STDEV.P(G30:G31)</f>
        <v>6476478576.6600342</v>
      </c>
      <c r="J30" s="3"/>
      <c r="K30" s="95">
        <v>420000000000</v>
      </c>
      <c r="L30" s="97">
        <f>AVERAGE(H30,K30)</f>
        <v>435590209960.9375</v>
      </c>
      <c r="M30" s="99">
        <f t="shared" ref="M30" si="79">100*_xlfn.STDEV.P(H30,K30)/L30</f>
        <v>3.5791001736094081</v>
      </c>
      <c r="N30" s="100">
        <f t="shared" ref="N30" si="80">H30/K30</f>
        <v>1.0742390950520833</v>
      </c>
      <c r="O30" t="s">
        <v>159</v>
      </c>
      <c r="P30" s="19" t="s">
        <v>48</v>
      </c>
      <c r="Q30" s="116">
        <v>500000</v>
      </c>
      <c r="R30" s="20" t="s">
        <v>49</v>
      </c>
      <c r="S30" s="114" t="s">
        <v>159</v>
      </c>
      <c r="T30" s="27">
        <v>133.23721313476599</v>
      </c>
      <c r="U30" s="22">
        <v>500000</v>
      </c>
      <c r="V30" s="22">
        <f t="shared" si="0"/>
        <v>666186065673.82996</v>
      </c>
      <c r="W30" s="125">
        <f t="shared" ref="W30" si="81">AVERAGE(V30,V31)</f>
        <v>661476211547.85254</v>
      </c>
      <c r="X30" s="11">
        <f t="shared" ref="X30" si="82">_xlfn.STDEV.P(V30:V31)</f>
        <v>4709854125.977478</v>
      </c>
      <c r="Y30" s="21"/>
    </row>
    <row r="31" spans="1:25" x14ac:dyDescent="0.25">
      <c r="A31" s="1" t="s">
        <v>50</v>
      </c>
      <c r="B31" s="119"/>
      <c r="C31" s="2" t="s">
        <v>49</v>
      </c>
      <c r="D31" s="121"/>
      <c r="E31" s="26">
        <v>88.940788269042997</v>
      </c>
      <c r="F31" s="17">
        <v>500000</v>
      </c>
      <c r="G31" s="11">
        <f t="shared" si="8"/>
        <v>444703941345.21497</v>
      </c>
      <c r="H31" s="96"/>
      <c r="I31" s="12">
        <f t="shared" ref="I31" si="83">I30/H30*100</f>
        <v>1.4354520477155195</v>
      </c>
      <c r="J31" s="3"/>
      <c r="K31" s="96"/>
      <c r="L31" s="98"/>
      <c r="M31" s="99"/>
      <c r="N31" s="100"/>
      <c r="P31" s="19" t="s">
        <v>50</v>
      </c>
      <c r="Q31" s="117"/>
      <c r="R31" s="20" t="s">
        <v>49</v>
      </c>
      <c r="S31" s="115"/>
      <c r="T31" s="27">
        <v>131.353271484375</v>
      </c>
      <c r="U31" s="22">
        <v>500000</v>
      </c>
      <c r="V31" s="22">
        <f t="shared" si="0"/>
        <v>656766357421.875</v>
      </c>
      <c r="W31" s="126"/>
      <c r="X31" s="12">
        <f t="shared" ref="X31" si="84">X30/W30*100</f>
        <v>0.71202169386506464</v>
      </c>
      <c r="Y31" s="21"/>
    </row>
    <row r="32" spans="1:25" x14ac:dyDescent="0.25">
      <c r="A32" s="1" t="s">
        <v>51</v>
      </c>
      <c r="B32" s="118" t="s">
        <v>110</v>
      </c>
      <c r="C32" s="2" t="s">
        <v>52</v>
      </c>
      <c r="D32" s="120">
        <v>5.4</v>
      </c>
      <c r="E32" s="26">
        <v>89.935249328613295</v>
      </c>
      <c r="F32" s="16">
        <v>500000</v>
      </c>
      <c r="G32" s="11">
        <f t="shared" si="8"/>
        <v>449676246643.06647</v>
      </c>
      <c r="H32" s="95">
        <f t="shared" ref="H32" si="85">AVERAGE(G32,G33)</f>
        <v>455439929962.1582</v>
      </c>
      <c r="I32" s="11">
        <f t="shared" ref="I32" si="86">_xlfn.STDEV.P(G32:G33)</f>
        <v>5763683319.0917664</v>
      </c>
      <c r="J32" s="3"/>
      <c r="K32" s="95">
        <v>420000000000</v>
      </c>
      <c r="L32" s="97">
        <f t="shared" ref="L32" si="87">AVERAGE(H32,K32)</f>
        <v>437719964981.0791</v>
      </c>
      <c r="M32" s="99">
        <f t="shared" ref="M32" si="88">100*_xlfn.STDEV.P(H32,K32)/L32</f>
        <v>4.0482423464154911</v>
      </c>
      <c r="N32" s="100">
        <f t="shared" ref="N32" si="89">H32/K32</f>
        <v>1.0843807856241863</v>
      </c>
      <c r="O32">
        <v>5.4</v>
      </c>
      <c r="P32" s="19" t="s">
        <v>51</v>
      </c>
      <c r="Q32" s="116">
        <v>500000</v>
      </c>
      <c r="R32" s="20" t="s">
        <v>52</v>
      </c>
      <c r="S32" s="114">
        <v>5.4</v>
      </c>
      <c r="T32" s="27">
        <v>129.43354797363301</v>
      </c>
      <c r="U32" s="22">
        <v>500000</v>
      </c>
      <c r="V32" s="22">
        <f t="shared" si="0"/>
        <v>647167739868.16516</v>
      </c>
      <c r="W32" s="125">
        <f t="shared" ref="W32" si="90">AVERAGE(V32,V33)</f>
        <v>662530632019.0426</v>
      </c>
      <c r="X32" s="11">
        <f t="shared" ref="X32" si="91">_xlfn.STDEV.P(V32:V33)</f>
        <v>15362892150.877441</v>
      </c>
      <c r="Y32" s="21"/>
    </row>
    <row r="33" spans="1:25" x14ac:dyDescent="0.25">
      <c r="A33" s="1" t="s">
        <v>53</v>
      </c>
      <c r="B33" s="119"/>
      <c r="C33" s="2" t="s">
        <v>52</v>
      </c>
      <c r="D33" s="121"/>
      <c r="E33" s="26">
        <v>92.24072265625</v>
      </c>
      <c r="F33" s="17">
        <v>500000</v>
      </c>
      <c r="G33" s="11">
        <f t="shared" si="8"/>
        <v>461203613281.25</v>
      </c>
      <c r="H33" s="96"/>
      <c r="I33" s="12">
        <f t="shared" ref="I33" si="92">I32/H32*100</f>
        <v>1.2655199818713001</v>
      </c>
      <c r="J33" s="3"/>
      <c r="K33" s="96"/>
      <c r="L33" s="98"/>
      <c r="M33" s="99"/>
      <c r="N33" s="100"/>
      <c r="P33" s="19" t="s">
        <v>53</v>
      </c>
      <c r="Q33" s="117"/>
      <c r="R33" s="20" t="s">
        <v>52</v>
      </c>
      <c r="S33" s="115"/>
      <c r="T33" s="27">
        <v>135.57870483398401</v>
      </c>
      <c r="U33" s="22">
        <v>500000</v>
      </c>
      <c r="V33" s="22">
        <f t="shared" si="0"/>
        <v>677893524169.92004</v>
      </c>
      <c r="W33" s="126"/>
      <c r="X33" s="12">
        <f t="shared" ref="X33" si="93">X32/W32*100</f>
        <v>2.3188199018148761</v>
      </c>
      <c r="Y33" s="21"/>
    </row>
    <row r="34" spans="1:25" x14ac:dyDescent="0.25">
      <c r="A34" s="1" t="s">
        <v>54</v>
      </c>
      <c r="B34" s="118" t="s">
        <v>110</v>
      </c>
      <c r="C34" s="2" t="s">
        <v>55</v>
      </c>
      <c r="D34" s="120">
        <v>5.41</v>
      </c>
      <c r="E34" s="26">
        <v>453.71905517578102</v>
      </c>
      <c r="F34" s="16">
        <v>500000</v>
      </c>
      <c r="G34" s="11">
        <f t="shared" si="8"/>
        <v>2268595275878.9053</v>
      </c>
      <c r="H34" s="95">
        <f t="shared" ref="H34" si="94">AVERAGE(G34,G35)</f>
        <v>2240100936889.6475</v>
      </c>
      <c r="I34" s="11">
        <f t="shared" ref="I34" si="95">_xlfn.STDEV.P(G34:G35)</f>
        <v>28494338989.257568</v>
      </c>
      <c r="J34" s="3"/>
      <c r="K34" s="95">
        <v>2080000000000</v>
      </c>
      <c r="L34" s="97">
        <f t="shared" ref="L34" si="96">AVERAGE(H34,K34)</f>
        <v>2160050468444.8237</v>
      </c>
      <c r="M34" s="99">
        <f t="shared" ref="M34" si="97">100*_xlfn.STDEV.P(H34,K34)/L34</f>
        <v>3.7059536160957314</v>
      </c>
      <c r="N34" s="100">
        <f t="shared" ref="N34" si="98">H34/K34</f>
        <v>1.0769716042738691</v>
      </c>
      <c r="O34">
        <v>5.41</v>
      </c>
      <c r="P34" s="19" t="s">
        <v>54</v>
      </c>
      <c r="Q34" s="116">
        <v>500000</v>
      </c>
      <c r="R34" s="20" t="s">
        <v>55</v>
      </c>
      <c r="S34" s="114">
        <v>5.41</v>
      </c>
      <c r="T34" s="27">
        <v>659.20983886718795</v>
      </c>
      <c r="U34" s="22">
        <v>500000</v>
      </c>
      <c r="V34" s="22">
        <f t="shared" si="0"/>
        <v>3296049194335.9399</v>
      </c>
      <c r="W34" s="125">
        <f t="shared" ref="W34" si="99">AVERAGE(V34,V35)</f>
        <v>3261547241210.9399</v>
      </c>
      <c r="X34" s="11">
        <f t="shared" ref="X34" si="100">_xlfn.STDEV.P(V34:V35)</f>
        <v>34501953125</v>
      </c>
      <c r="Y34" s="21"/>
    </row>
    <row r="35" spans="1:25" x14ac:dyDescent="0.25">
      <c r="A35" s="1" t="s">
        <v>56</v>
      </c>
      <c r="B35" s="119"/>
      <c r="C35" s="2" t="s">
        <v>55</v>
      </c>
      <c r="D35" s="121"/>
      <c r="E35" s="26">
        <v>442.32131958007801</v>
      </c>
      <c r="F35" s="17">
        <v>500000</v>
      </c>
      <c r="G35" s="11">
        <f t="shared" si="8"/>
        <v>2211606597900.3901</v>
      </c>
      <c r="H35" s="96"/>
      <c r="I35" s="12">
        <f t="shared" ref="I35" si="101">I34/H34*100</f>
        <v>1.2720113866307117</v>
      </c>
      <c r="J35" s="3"/>
      <c r="K35" s="96"/>
      <c r="L35" s="98"/>
      <c r="M35" s="99"/>
      <c r="N35" s="100"/>
      <c r="P35" s="19" t="s">
        <v>56</v>
      </c>
      <c r="Q35" s="117"/>
      <c r="R35" s="20" t="s">
        <v>55</v>
      </c>
      <c r="S35" s="115"/>
      <c r="T35" s="27">
        <v>645.40905761718795</v>
      </c>
      <c r="U35" s="22">
        <v>500000</v>
      </c>
      <c r="V35" s="22">
        <f t="shared" si="0"/>
        <v>3227045288085.9399</v>
      </c>
      <c r="W35" s="126"/>
      <c r="X35" s="12">
        <f t="shared" ref="X35" si="102">X34/W34*100</f>
        <v>1.0578400548382121</v>
      </c>
      <c r="Y35" s="21"/>
    </row>
    <row r="36" spans="1:25" x14ac:dyDescent="0.25">
      <c r="A36" s="1" t="s">
        <v>57</v>
      </c>
      <c r="B36" s="118" t="s">
        <v>110</v>
      </c>
      <c r="C36" s="2" t="s">
        <v>58</v>
      </c>
      <c r="D36" s="120">
        <v>5.42</v>
      </c>
      <c r="E36" s="26">
        <v>87.210342407226605</v>
      </c>
      <c r="F36" s="16">
        <v>500000</v>
      </c>
      <c r="G36" s="11">
        <f t="shared" si="8"/>
        <v>436051712036.13306</v>
      </c>
      <c r="H36" s="95">
        <f t="shared" ref="H36" si="103">AVERAGE(G36,G37)</f>
        <v>427586708068.84778</v>
      </c>
      <c r="I36" s="11">
        <f t="shared" ref="I36" si="104">_xlfn.STDEV.P(G36:G37)</f>
        <v>8465003967.2852783</v>
      </c>
      <c r="J36" s="3"/>
      <c r="K36" s="95">
        <v>420000000000</v>
      </c>
      <c r="L36" s="97">
        <f t="shared" ref="L36" si="105">AVERAGE(H36,K36)</f>
        <v>423793354034.42389</v>
      </c>
      <c r="M36" s="99">
        <f t="shared" ref="M36" si="106">100*_xlfn.STDEV.P(H36,K36)/L36</f>
        <v>0.89509521522977031</v>
      </c>
      <c r="N36" s="100">
        <f t="shared" ref="N36" si="107">H36/K36</f>
        <v>1.0180635906401136</v>
      </c>
      <c r="O36">
        <v>5.42</v>
      </c>
      <c r="P36" s="19" t="s">
        <v>57</v>
      </c>
      <c r="Q36" s="116">
        <v>500000</v>
      </c>
      <c r="R36" s="20" t="s">
        <v>58</v>
      </c>
      <c r="S36" s="114">
        <v>5.42</v>
      </c>
      <c r="T36" s="27">
        <v>129.82942199707</v>
      </c>
      <c r="U36" s="22">
        <v>500000</v>
      </c>
      <c r="V36" s="22">
        <f t="shared" si="0"/>
        <v>649147109985.34998</v>
      </c>
      <c r="W36" s="125">
        <f t="shared" ref="W36" si="108">AVERAGE(V36,V37)</f>
        <v>626569976806.63989</v>
      </c>
      <c r="X36" s="11">
        <f t="shared" ref="X36" si="109">_xlfn.STDEV.P(V36:V37)</f>
        <v>22577133178.710022</v>
      </c>
      <c r="Y36" s="21"/>
    </row>
    <row r="37" spans="1:25" x14ac:dyDescent="0.25">
      <c r="A37" s="1" t="s">
        <v>59</v>
      </c>
      <c r="B37" s="119"/>
      <c r="C37" s="2" t="s">
        <v>58</v>
      </c>
      <c r="D37" s="121"/>
      <c r="E37" s="26">
        <v>83.8243408203125</v>
      </c>
      <c r="F37" s="17">
        <v>500000</v>
      </c>
      <c r="G37" s="11">
        <f t="shared" si="8"/>
        <v>419121704101.5625</v>
      </c>
      <c r="H37" s="96"/>
      <c r="I37" s="12">
        <f t="shared" ref="I37" si="110">I36/H36*100</f>
        <v>1.9797163493497294</v>
      </c>
      <c r="J37" s="3"/>
      <c r="K37" s="96"/>
      <c r="L37" s="98"/>
      <c r="M37" s="99"/>
      <c r="N37" s="100"/>
      <c r="P37" s="19" t="s">
        <v>59</v>
      </c>
      <c r="Q37" s="117"/>
      <c r="R37" s="20" t="s">
        <v>58</v>
      </c>
      <c r="S37" s="115"/>
      <c r="T37" s="27">
        <v>120.79856872558599</v>
      </c>
      <c r="U37" s="22">
        <v>500000</v>
      </c>
      <c r="V37" s="22">
        <f t="shared" si="0"/>
        <v>603992843627.92993</v>
      </c>
      <c r="W37" s="126"/>
      <c r="X37" s="12">
        <f t="shared" ref="X37" si="111">X36/W36*100</f>
        <v>3.6032899778849998</v>
      </c>
      <c r="Y37" s="21"/>
    </row>
    <row r="38" spans="1:25" x14ac:dyDescent="0.25">
      <c r="A38" s="1" t="s">
        <v>60</v>
      </c>
      <c r="B38" s="118" t="s">
        <v>110</v>
      </c>
      <c r="C38" s="2" t="s">
        <v>61</v>
      </c>
      <c r="D38" s="120">
        <v>5.43</v>
      </c>
      <c r="E38" s="26">
        <v>454.122802734375</v>
      </c>
      <c r="F38" s="16">
        <v>500000</v>
      </c>
      <c r="G38" s="11">
        <f t="shared" si="8"/>
        <v>2270614013671.875</v>
      </c>
      <c r="H38" s="95">
        <f t="shared" ref="H38" si="112">AVERAGE(G38,G39)</f>
        <v>2255838241577.1475</v>
      </c>
      <c r="I38" s="11">
        <f t="shared" ref="I38" si="113">_xlfn.STDEV.P(G38:G39)</f>
        <v>14775772094.727539</v>
      </c>
      <c r="J38" s="3"/>
      <c r="K38" s="95">
        <v>2080000000000</v>
      </c>
      <c r="L38" s="97">
        <f t="shared" ref="L38" si="114">AVERAGE(H38,K38)</f>
        <v>2167919120788.5737</v>
      </c>
      <c r="M38" s="99">
        <f t="shared" ref="M38" si="115">100*_xlfn.STDEV.P(H38,K38)/L38</f>
        <v>4.0554612921442121</v>
      </c>
      <c r="N38" s="100">
        <f t="shared" ref="N38" si="116">H38/K38</f>
        <v>1.0845376161428593</v>
      </c>
      <c r="O38">
        <v>5.43</v>
      </c>
      <c r="P38" s="19" t="s">
        <v>60</v>
      </c>
      <c r="Q38" s="116">
        <v>500000</v>
      </c>
      <c r="R38" s="20" t="s">
        <v>61</v>
      </c>
      <c r="S38" s="114">
        <v>5.43</v>
      </c>
      <c r="T38" s="27">
        <v>667.30767822265602</v>
      </c>
      <c r="U38" s="22">
        <v>500000</v>
      </c>
      <c r="V38" s="22">
        <f t="shared" si="0"/>
        <v>3336538391113.2803</v>
      </c>
      <c r="W38" s="125">
        <f t="shared" ref="W38" si="117">AVERAGE(V38,V39)</f>
        <v>3303358764648.4375</v>
      </c>
      <c r="X38" s="11">
        <f t="shared" ref="X38" si="118">_xlfn.STDEV.P(V38:V39)</f>
        <v>33179626464.842773</v>
      </c>
      <c r="Y38" s="21"/>
    </row>
    <row r="39" spans="1:25" x14ac:dyDescent="0.25">
      <c r="A39" s="1" t="s">
        <v>62</v>
      </c>
      <c r="B39" s="119"/>
      <c r="C39" s="2" t="s">
        <v>61</v>
      </c>
      <c r="D39" s="121"/>
      <c r="E39" s="26">
        <v>448.21249389648398</v>
      </c>
      <c r="F39" s="17">
        <v>500000</v>
      </c>
      <c r="G39" s="11">
        <f t="shared" si="8"/>
        <v>2241062469482.4199</v>
      </c>
      <c r="H39" s="96"/>
      <c r="I39" s="12">
        <f t="shared" ref="I39" si="119">I38/H38*100</f>
        <v>0.65500140135922169</v>
      </c>
      <c r="J39" s="3"/>
      <c r="K39" s="96"/>
      <c r="L39" s="98"/>
      <c r="M39" s="99"/>
      <c r="N39" s="100"/>
      <c r="P39" s="19" t="s">
        <v>62</v>
      </c>
      <c r="Q39" s="117"/>
      <c r="R39" s="20" t="s">
        <v>61</v>
      </c>
      <c r="S39" s="115"/>
      <c r="T39" s="27">
        <v>654.03582763671898</v>
      </c>
      <c r="U39" s="22">
        <v>500000</v>
      </c>
      <c r="V39" s="22">
        <f t="shared" si="0"/>
        <v>3270179138183.5947</v>
      </c>
      <c r="W39" s="126"/>
      <c r="X39" s="12">
        <f t="shared" ref="X39" si="120">X38/W38*100</f>
        <v>1.004420919093659</v>
      </c>
      <c r="Y39" s="21"/>
    </row>
    <row r="40" spans="1:25" x14ac:dyDescent="0.25">
      <c r="A40" s="1" t="s">
        <v>63</v>
      </c>
      <c r="B40" s="118" t="s">
        <v>110</v>
      </c>
      <c r="C40" s="2" t="s">
        <v>64</v>
      </c>
      <c r="D40" s="120" t="s">
        <v>160</v>
      </c>
      <c r="E40" s="26">
        <v>225.03434753418</v>
      </c>
      <c r="F40" s="16">
        <v>5000000</v>
      </c>
      <c r="G40" s="11">
        <f t="shared" si="8"/>
        <v>11251717376709</v>
      </c>
      <c r="H40" s="122">
        <f t="shared" ref="H40" si="121">AVERAGE(G40,G41)</f>
        <v>10948009490966.801</v>
      </c>
      <c r="I40" s="11">
        <f t="shared" ref="I40" si="122">_xlfn.STDEV.P(G40:G41)</f>
        <v>303707885742.2002</v>
      </c>
      <c r="J40" s="113" t="s">
        <v>172</v>
      </c>
      <c r="O40" t="s">
        <v>160</v>
      </c>
      <c r="P40" s="19" t="s">
        <v>63</v>
      </c>
      <c r="Q40" s="116">
        <v>5000000</v>
      </c>
      <c r="R40" s="20" t="s">
        <v>64</v>
      </c>
      <c r="S40" s="114" t="s">
        <v>160</v>
      </c>
      <c r="T40" s="27">
        <v>315.64617919921898</v>
      </c>
      <c r="U40" s="22">
        <v>5000000</v>
      </c>
      <c r="V40" s="22">
        <f t="shared" si="0"/>
        <v>15782308959960.949</v>
      </c>
      <c r="W40" s="130">
        <f t="shared" ref="W40" si="123">AVERAGE(V40,V41)</f>
        <v>15511183166503.926</v>
      </c>
      <c r="X40" s="11">
        <f t="shared" ref="X40" si="124">_xlfn.STDEV.P(V40:V41)</f>
        <v>271125793457.02441</v>
      </c>
      <c r="Y40" s="113" t="s">
        <v>172</v>
      </c>
    </row>
    <row r="41" spans="1:25" x14ac:dyDescent="0.25">
      <c r="A41" s="1" t="s">
        <v>65</v>
      </c>
      <c r="B41" s="119"/>
      <c r="C41" s="2" t="s">
        <v>64</v>
      </c>
      <c r="D41" s="121"/>
      <c r="E41" s="26">
        <v>212.88603210449199</v>
      </c>
      <c r="F41" s="17">
        <v>5000000</v>
      </c>
      <c r="G41" s="11">
        <f t="shared" si="8"/>
        <v>10644301605224.6</v>
      </c>
      <c r="H41" s="123"/>
      <c r="I41" s="12">
        <f t="shared" ref="I41" si="125">I40/H40*100</f>
        <v>2.7740922767082865</v>
      </c>
      <c r="J41" s="113"/>
      <c r="P41" s="19" t="s">
        <v>65</v>
      </c>
      <c r="Q41" s="117"/>
      <c r="R41" s="20" t="s">
        <v>64</v>
      </c>
      <c r="S41" s="115"/>
      <c r="T41" s="27">
        <v>304.80114746093801</v>
      </c>
      <c r="U41" s="22">
        <v>5000000</v>
      </c>
      <c r="V41" s="22">
        <f t="shared" si="0"/>
        <v>15240057373046.9</v>
      </c>
      <c r="W41" s="131"/>
      <c r="X41" s="12">
        <f t="shared" ref="X41" si="126">X40/W40*100</f>
        <v>1.7479375399454691</v>
      </c>
      <c r="Y41" s="113"/>
    </row>
    <row r="42" spans="1:25" x14ac:dyDescent="0.25">
      <c r="A42" s="1" t="s">
        <v>66</v>
      </c>
      <c r="B42" s="118" t="s">
        <v>110</v>
      </c>
      <c r="C42" s="2" t="s">
        <v>67</v>
      </c>
      <c r="D42" s="120" t="s">
        <v>161</v>
      </c>
      <c r="E42" s="26">
        <v>201.31156921386699</v>
      </c>
      <c r="F42" s="16">
        <v>5000000</v>
      </c>
      <c r="G42" s="11">
        <f t="shared" si="8"/>
        <v>10065578460693.35</v>
      </c>
      <c r="H42" s="122">
        <f t="shared" ref="H42" si="127">AVERAGE(G42,G43)</f>
        <v>10008462524414.051</v>
      </c>
      <c r="I42" s="11">
        <f t="shared" ref="I42" si="128">_xlfn.STDEV.P(G42:G43)</f>
        <v>57115936279.299805</v>
      </c>
      <c r="J42" s="113" t="s">
        <v>172</v>
      </c>
      <c r="O42" t="s">
        <v>161</v>
      </c>
      <c r="P42" s="19" t="s">
        <v>66</v>
      </c>
      <c r="Q42" s="116">
        <v>5000000</v>
      </c>
      <c r="R42" s="20" t="s">
        <v>67</v>
      </c>
      <c r="S42" s="114" t="s">
        <v>161</v>
      </c>
      <c r="T42" s="27">
        <v>286.53039550781301</v>
      </c>
      <c r="U42" s="22">
        <v>5000000</v>
      </c>
      <c r="V42" s="22">
        <f t="shared" si="0"/>
        <v>14326519775390.65</v>
      </c>
      <c r="W42" s="130">
        <f t="shared" ref="W42" si="129">AVERAGE(V42,V43)</f>
        <v>14354499053955.102</v>
      </c>
      <c r="X42" s="11">
        <f t="shared" ref="X42" si="130">_xlfn.STDEV.P(V42:V43)</f>
        <v>27979278564.451172</v>
      </c>
      <c r="Y42" s="113" t="s">
        <v>172</v>
      </c>
    </row>
    <row r="43" spans="1:25" x14ac:dyDescent="0.25">
      <c r="A43" s="1" t="s">
        <v>68</v>
      </c>
      <c r="B43" s="119"/>
      <c r="C43" s="2" t="s">
        <v>67</v>
      </c>
      <c r="D43" s="121"/>
      <c r="E43" s="26">
        <v>199.026931762695</v>
      </c>
      <c r="F43" s="17">
        <v>5000000</v>
      </c>
      <c r="G43" s="11">
        <f t="shared" si="8"/>
        <v>9951346588134.75</v>
      </c>
      <c r="H43" s="123"/>
      <c r="I43" s="12">
        <f t="shared" ref="I43" si="131">I42/H42*100</f>
        <v>0.57067642647384231</v>
      </c>
      <c r="J43" s="113"/>
      <c r="P43" s="19" t="s">
        <v>68</v>
      </c>
      <c r="Q43" s="117"/>
      <c r="R43" s="20" t="s">
        <v>67</v>
      </c>
      <c r="S43" s="115"/>
      <c r="T43" s="27">
        <v>287.64956665039102</v>
      </c>
      <c r="U43" s="22">
        <v>5000000</v>
      </c>
      <c r="V43" s="22">
        <f t="shared" si="0"/>
        <v>14382478332519.553</v>
      </c>
      <c r="W43" s="131"/>
      <c r="X43" s="12">
        <f t="shared" ref="X43" si="132">X42/W42*100</f>
        <v>0.19491644019957652</v>
      </c>
      <c r="Y43" s="113"/>
    </row>
    <row r="44" spans="1:25" x14ac:dyDescent="0.25">
      <c r="A44" s="1" t="s">
        <v>69</v>
      </c>
      <c r="B44" s="118" t="s">
        <v>110</v>
      </c>
      <c r="C44" s="2" t="s">
        <v>70</v>
      </c>
      <c r="D44" s="120" t="s">
        <v>162</v>
      </c>
      <c r="E44" s="26">
        <v>6.0874067246913903E-2</v>
      </c>
      <c r="F44" s="16">
        <v>28600</v>
      </c>
      <c r="G44" s="11">
        <f t="shared" si="8"/>
        <v>17409983.232617375</v>
      </c>
      <c r="H44" s="95">
        <f t="shared" ref="H44" si="133">AVERAGE(G44,G45)</f>
        <v>17089098.244905472</v>
      </c>
      <c r="I44" s="11">
        <f t="shared" ref="I44" si="134">_xlfn.STDEV.P(G44:G45)</f>
        <v>320884.98771190271</v>
      </c>
      <c r="J44" s="105" t="s">
        <v>138</v>
      </c>
      <c r="O44" t="s">
        <v>162</v>
      </c>
      <c r="P44" s="19" t="s">
        <v>69</v>
      </c>
      <c r="Q44" s="173">
        <v>28600</v>
      </c>
      <c r="R44" s="20" t="s">
        <v>70</v>
      </c>
      <c r="S44" s="114" t="s">
        <v>162</v>
      </c>
      <c r="T44" s="27">
        <v>0.73068839311599698</v>
      </c>
      <c r="U44" s="22">
        <v>28600</v>
      </c>
      <c r="V44" s="22">
        <f t="shared" si="0"/>
        <v>208976880.43117514</v>
      </c>
      <c r="W44" s="125">
        <f t="shared" ref="W44" si="135">AVERAGE(V44,V45)</f>
        <v>163186056.3457011</v>
      </c>
      <c r="X44" s="11">
        <f t="shared" ref="X44" si="136">_xlfn.STDEV.P(V44:V45)</f>
        <v>45790824.085474066</v>
      </c>
      <c r="Y44" s="105" t="s">
        <v>138</v>
      </c>
    </row>
    <row r="45" spans="1:25" x14ac:dyDescent="0.25">
      <c r="A45" s="1" t="s">
        <v>71</v>
      </c>
      <c r="B45" s="119"/>
      <c r="C45" s="2" t="s">
        <v>70</v>
      </c>
      <c r="D45" s="121"/>
      <c r="E45" s="26">
        <v>5.8630116283893599E-2</v>
      </c>
      <c r="F45" s="17">
        <v>28600</v>
      </c>
      <c r="G45" s="11">
        <f t="shared" si="8"/>
        <v>16768213.257193569</v>
      </c>
      <c r="H45" s="96"/>
      <c r="I45" s="12">
        <f t="shared" ref="I45" si="137">I44/H44*100</f>
        <v>1.8777174963433987</v>
      </c>
      <c r="J45" s="106"/>
      <c r="P45" s="19" t="s">
        <v>71</v>
      </c>
      <c r="Q45" s="117"/>
      <c r="R45" s="20" t="s">
        <v>70</v>
      </c>
      <c r="S45" s="115"/>
      <c r="T45" s="27">
        <v>0.41047284007072399</v>
      </c>
      <c r="U45" s="22">
        <v>28600</v>
      </c>
      <c r="V45" s="22">
        <f t="shared" si="0"/>
        <v>117395232.26022705</v>
      </c>
      <c r="W45" s="126"/>
      <c r="X45" s="12">
        <f t="shared" ref="X45" si="138">X44/W44*100</f>
        <v>28.060500456282007</v>
      </c>
      <c r="Y45" s="106"/>
    </row>
    <row r="46" spans="1:25" x14ac:dyDescent="0.25">
      <c r="A46" s="1" t="s">
        <v>72</v>
      </c>
      <c r="B46" s="118" t="s">
        <v>110</v>
      </c>
      <c r="C46" s="2" t="s">
        <v>73</v>
      </c>
      <c r="D46" s="120" t="s">
        <v>152</v>
      </c>
      <c r="E46" s="26">
        <v>210.32427978515599</v>
      </c>
      <c r="F46" s="16">
        <v>28600</v>
      </c>
      <c r="G46" s="11">
        <f t="shared" si="8"/>
        <v>60152744018.554611</v>
      </c>
      <c r="H46" s="95">
        <f t="shared" ref="H46" si="139">AVERAGE(G46,G47)</f>
        <v>58617141433.715714</v>
      </c>
      <c r="I46" s="11">
        <f t="shared" ref="I46" si="140">_xlfn.STDEV.P(G46:G47)</f>
        <v>1535602584.8388939</v>
      </c>
      <c r="J46" s="105" t="s">
        <v>138</v>
      </c>
      <c r="O46" t="s">
        <v>152</v>
      </c>
      <c r="P46" s="19" t="s">
        <v>72</v>
      </c>
      <c r="Q46" s="173">
        <v>28600</v>
      </c>
      <c r="R46" s="20" t="s">
        <v>73</v>
      </c>
      <c r="S46" s="114" t="s">
        <v>152</v>
      </c>
      <c r="T46" s="27">
        <v>180.33352661132801</v>
      </c>
      <c r="U46" s="22">
        <v>28600</v>
      </c>
      <c r="V46" s="22">
        <f t="shared" si="0"/>
        <v>51575388610.839813</v>
      </c>
      <c r="W46" s="125">
        <f t="shared" ref="W46" si="141">AVERAGE(V46,V47)</f>
        <v>50043990753.173851</v>
      </c>
      <c r="X46" s="11">
        <f t="shared" ref="X46" si="142">_xlfn.STDEV.P(V46:V47)</f>
        <v>1531397857.6659622</v>
      </c>
      <c r="Y46" s="105" t="s">
        <v>138</v>
      </c>
    </row>
    <row r="47" spans="1:25" x14ac:dyDescent="0.25">
      <c r="A47" s="1" t="s">
        <v>74</v>
      </c>
      <c r="B47" s="119"/>
      <c r="C47" s="2" t="s">
        <v>73</v>
      </c>
      <c r="D47" s="121"/>
      <c r="E47" s="26">
        <v>199.58580017089801</v>
      </c>
      <c r="F47" s="17">
        <v>28600</v>
      </c>
      <c r="G47" s="11">
        <f t="shared" si="8"/>
        <v>57081538848.876823</v>
      </c>
      <c r="H47" s="96"/>
      <c r="I47" s="12">
        <f t="shared" ref="I47" si="143">I46/H46*100</f>
        <v>2.6197159180396983</v>
      </c>
      <c r="J47" s="106"/>
      <c r="P47" s="19" t="s">
        <v>74</v>
      </c>
      <c r="Q47" s="117"/>
      <c r="R47" s="20" t="s">
        <v>73</v>
      </c>
      <c r="S47" s="115"/>
      <c r="T47" s="27">
        <v>169.62445068359401</v>
      </c>
      <c r="U47" s="22">
        <v>28600</v>
      </c>
      <c r="V47" s="22">
        <f t="shared" si="0"/>
        <v>48512592895.507889</v>
      </c>
      <c r="W47" s="126"/>
      <c r="X47" s="12">
        <f t="shared" ref="X47" si="144">X46/W46*100</f>
        <v>3.060103390273365</v>
      </c>
      <c r="Y47" s="106"/>
    </row>
    <row r="48" spans="1:25" x14ac:dyDescent="0.25">
      <c r="A48" s="1" t="s">
        <v>75</v>
      </c>
      <c r="B48" s="118" t="s">
        <v>110</v>
      </c>
      <c r="C48" s="2" t="s">
        <v>76</v>
      </c>
      <c r="D48" s="120" t="s">
        <v>153</v>
      </c>
      <c r="E48" s="26">
        <v>274.61883544921898</v>
      </c>
      <c r="F48" s="16">
        <v>50000</v>
      </c>
      <c r="G48" s="11">
        <f t="shared" si="8"/>
        <v>137309417724.6095</v>
      </c>
      <c r="H48" s="95">
        <f t="shared" ref="H48" si="145">AVERAGE(G48,G49)</f>
        <v>135137321472.168</v>
      </c>
      <c r="I48" s="11">
        <f t="shared" ref="I48" si="146">_xlfn.STDEV.P(G48:G49)</f>
        <v>2172096252.4414902</v>
      </c>
      <c r="J48" s="105" t="s">
        <v>138</v>
      </c>
      <c r="O48" t="s">
        <v>153</v>
      </c>
      <c r="P48" s="19" t="s">
        <v>75</v>
      </c>
      <c r="Q48" s="116">
        <v>50000</v>
      </c>
      <c r="R48" s="20" t="s">
        <v>76</v>
      </c>
      <c r="S48" s="114" t="s">
        <v>153</v>
      </c>
      <c r="T48" s="27">
        <v>392.58117675781301</v>
      </c>
      <c r="U48" s="22">
        <v>50000</v>
      </c>
      <c r="V48" s="22">
        <f t="shared" si="0"/>
        <v>196290588378.90649</v>
      </c>
      <c r="W48" s="125">
        <f t="shared" ref="W48" si="147">AVERAGE(V48,V49)</f>
        <v>194118179321.28925</v>
      </c>
      <c r="X48" s="11">
        <f t="shared" ref="X48" si="148">_xlfn.STDEV.P(V48:V49)</f>
        <v>2172409057.6172485</v>
      </c>
      <c r="Y48" s="105" t="s">
        <v>138</v>
      </c>
    </row>
    <row r="49" spans="1:28" x14ac:dyDescent="0.25">
      <c r="A49" s="1" t="s">
        <v>77</v>
      </c>
      <c r="B49" s="119"/>
      <c r="C49" s="2" t="s">
        <v>76</v>
      </c>
      <c r="D49" s="121"/>
      <c r="E49" s="26">
        <v>265.93045043945301</v>
      </c>
      <c r="F49" s="17">
        <v>50000</v>
      </c>
      <c r="G49" s="11">
        <f t="shared" si="8"/>
        <v>132965225219.72652</v>
      </c>
      <c r="H49" s="96"/>
      <c r="I49" s="12">
        <f t="shared" ref="I49" si="149">I48/H48*100</f>
        <v>1.6073252220622418</v>
      </c>
      <c r="J49" s="106"/>
      <c r="P49" s="19" t="s">
        <v>77</v>
      </c>
      <c r="Q49" s="117"/>
      <c r="R49" s="20" t="s">
        <v>76</v>
      </c>
      <c r="S49" s="115"/>
      <c r="T49" s="27">
        <v>383.89154052734398</v>
      </c>
      <c r="U49" s="22">
        <v>50000</v>
      </c>
      <c r="V49" s="22">
        <f t="shared" si="0"/>
        <v>191945770263.672</v>
      </c>
      <c r="W49" s="126"/>
      <c r="X49" s="12">
        <f t="shared" ref="X49" si="150">X48/W48*100</f>
        <v>1.1191167489891025</v>
      </c>
      <c r="Y49" s="106"/>
    </row>
    <row r="50" spans="1:28" x14ac:dyDescent="0.25">
      <c r="A50" s="1" t="s">
        <v>78</v>
      </c>
      <c r="B50" s="118" t="s">
        <v>110</v>
      </c>
      <c r="C50" s="2" t="s">
        <v>79</v>
      </c>
      <c r="D50" s="120" t="s">
        <v>153</v>
      </c>
      <c r="E50" s="26">
        <v>277.59313964843801</v>
      </c>
      <c r="F50" s="16">
        <v>50000</v>
      </c>
      <c r="G50" s="11">
        <f t="shared" si="8"/>
        <v>138796569824.21899</v>
      </c>
      <c r="H50" s="95">
        <f t="shared" ref="H50" si="151">AVERAGE(G50,G51)</f>
        <v>135834144592.28525</v>
      </c>
      <c r="I50" s="11">
        <f t="shared" ref="I50" si="152">_xlfn.STDEV.P(G50:G51)</f>
        <v>2962425231.9337387</v>
      </c>
      <c r="J50" s="105" t="s">
        <v>138</v>
      </c>
      <c r="O50" t="s">
        <v>153</v>
      </c>
      <c r="P50" s="19" t="s">
        <v>78</v>
      </c>
      <c r="Q50" s="116">
        <v>50000</v>
      </c>
      <c r="R50" s="20" t="s">
        <v>79</v>
      </c>
      <c r="S50" s="114" t="s">
        <v>153</v>
      </c>
      <c r="T50" s="27">
        <v>400.07580566406301</v>
      </c>
      <c r="U50" s="22">
        <v>50000</v>
      </c>
      <c r="V50" s="22">
        <f t="shared" si="0"/>
        <v>200037902832.03149</v>
      </c>
      <c r="W50" s="125">
        <f t="shared" ref="W50" si="153">AVERAGE(V50,V51)</f>
        <v>194309806823.73047</v>
      </c>
      <c r="X50" s="11">
        <f t="shared" ref="X50" si="154">_xlfn.STDEV.P(V50:V51)</f>
        <v>5728096008.3010101</v>
      </c>
      <c r="Y50" s="105" t="s">
        <v>138</v>
      </c>
    </row>
    <row r="51" spans="1:28" x14ac:dyDescent="0.25">
      <c r="A51" s="1" t="s">
        <v>80</v>
      </c>
      <c r="B51" s="119"/>
      <c r="C51" s="2" t="s">
        <v>79</v>
      </c>
      <c r="D51" s="121"/>
      <c r="E51" s="26">
        <v>265.74343872070301</v>
      </c>
      <c r="F51" s="17">
        <v>50000</v>
      </c>
      <c r="G51" s="11">
        <f t="shared" si="8"/>
        <v>132871719360.35152</v>
      </c>
      <c r="H51" s="96"/>
      <c r="I51" s="12">
        <f t="shared" ref="I51" si="155">I50/H50*100</f>
        <v>2.1809135257012473</v>
      </c>
      <c r="J51" s="106"/>
      <c r="P51" s="19" t="s">
        <v>80</v>
      </c>
      <c r="Q51" s="117"/>
      <c r="R51" s="20" t="s">
        <v>79</v>
      </c>
      <c r="S51" s="115"/>
      <c r="T51" s="27">
        <v>377.16342163085898</v>
      </c>
      <c r="U51" s="22">
        <v>50000</v>
      </c>
      <c r="V51" s="22">
        <f t="shared" si="0"/>
        <v>188581710815.42947</v>
      </c>
      <c r="W51" s="126"/>
      <c r="X51" s="12">
        <f t="shared" ref="X51" si="156">X50/W50*100</f>
        <v>2.9479191513464338</v>
      </c>
      <c r="Y51" s="106"/>
    </row>
    <row r="52" spans="1:28" x14ac:dyDescent="0.25">
      <c r="A52" s="1" t="s">
        <v>81</v>
      </c>
      <c r="B52" s="118" t="s">
        <v>110</v>
      </c>
      <c r="C52" s="2" t="s">
        <v>82</v>
      </c>
      <c r="D52" s="120" t="s">
        <v>170</v>
      </c>
      <c r="E52" s="26">
        <v>0</v>
      </c>
      <c r="F52" s="16">
        <v>100</v>
      </c>
      <c r="G52" s="11">
        <f t="shared" si="8"/>
        <v>0</v>
      </c>
      <c r="H52" s="95">
        <f t="shared" ref="H52" si="157">AVERAGE(G52,G53)</f>
        <v>85258.997976779996</v>
      </c>
      <c r="I52" s="11">
        <f t="shared" ref="I52" si="158">_xlfn.STDEV.P(G52:G53)</f>
        <v>85258.997976779996</v>
      </c>
      <c r="J52" s="105" t="s">
        <v>138</v>
      </c>
      <c r="O52" t="s">
        <v>170</v>
      </c>
      <c r="P52" s="19" t="s">
        <v>81</v>
      </c>
      <c r="Q52" s="116">
        <v>100</v>
      </c>
      <c r="R52" s="20" t="s">
        <v>82</v>
      </c>
      <c r="S52" s="114" t="s">
        <v>170</v>
      </c>
      <c r="T52" s="27">
        <v>0.39848774671554599</v>
      </c>
      <c r="U52" s="22">
        <v>100</v>
      </c>
      <c r="V52" s="22">
        <f t="shared" si="0"/>
        <v>398487.746715546</v>
      </c>
      <c r="W52" s="125">
        <f t="shared" ref="W52" si="159">AVERAGE(V52,V53)</f>
        <v>398201.10797882103</v>
      </c>
      <c r="X52" s="11">
        <f t="shared" ref="X52" si="160">_xlfn.STDEV.P(V52:V53)</f>
        <v>286.63873672499903</v>
      </c>
      <c r="Y52" s="105" t="s">
        <v>138</v>
      </c>
    </row>
    <row r="53" spans="1:28" x14ac:dyDescent="0.25">
      <c r="A53" s="1" t="s">
        <v>83</v>
      </c>
      <c r="B53" s="119"/>
      <c r="C53" s="2" t="s">
        <v>82</v>
      </c>
      <c r="D53" s="121"/>
      <c r="E53" s="26">
        <v>0.17051799595355999</v>
      </c>
      <c r="F53" s="17">
        <v>100</v>
      </c>
      <c r="G53" s="11">
        <f t="shared" si="8"/>
        <v>170517.99595355999</v>
      </c>
      <c r="H53" s="96"/>
      <c r="I53" s="12">
        <f t="shared" ref="I53" si="161">I52/H52*100</f>
        <v>100</v>
      </c>
      <c r="J53" s="106"/>
      <c r="P53" s="19" t="s">
        <v>83</v>
      </c>
      <c r="Q53" s="117"/>
      <c r="R53" s="20" t="s">
        <v>82</v>
      </c>
      <c r="S53" s="115"/>
      <c r="T53" s="27">
        <v>0.397914469242096</v>
      </c>
      <c r="U53" s="22">
        <v>100</v>
      </c>
      <c r="V53" s="22">
        <f t="shared" si="0"/>
        <v>397914.46924209601</v>
      </c>
      <c r="W53" s="126"/>
      <c r="X53" s="12">
        <f t="shared" ref="X53" si="162">X52/W52*100</f>
        <v>7.1983410136629858E-2</v>
      </c>
      <c r="Y53" s="106"/>
    </row>
    <row r="54" spans="1:28" ht="15.75" thickBot="1" x14ac:dyDescent="0.3"/>
    <row r="55" spans="1:28" ht="27" thickTop="1" x14ac:dyDescent="0.4">
      <c r="A55" s="162" t="s">
        <v>140</v>
      </c>
      <c r="B55" s="162"/>
      <c r="C55" s="162"/>
      <c r="D55" s="162"/>
      <c r="E55" s="162"/>
      <c r="F55" s="162"/>
      <c r="G55" s="162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40"/>
      <c r="S55" s="49" t="s">
        <v>134</v>
      </c>
      <c r="T55" s="49"/>
      <c r="U55" s="41"/>
      <c r="V55" s="41"/>
      <c r="W55" s="41"/>
      <c r="X55" s="41"/>
      <c r="Y55" s="42"/>
    </row>
    <row r="56" spans="1:28" ht="15" customHeight="1" x14ac:dyDescent="0.25">
      <c r="R56" s="43"/>
      <c r="S56" s="50"/>
      <c r="Y56" s="44"/>
    </row>
    <row r="57" spans="1:28" ht="30.75" x14ac:dyDescent="0.25">
      <c r="A57" s="65" t="s">
        <v>141</v>
      </c>
      <c r="B57" s="65" t="s">
        <v>142</v>
      </c>
      <c r="C57" s="66" t="s">
        <v>143</v>
      </c>
      <c r="D57" s="67" t="s">
        <v>144</v>
      </c>
      <c r="E57" s="68" t="s">
        <v>147</v>
      </c>
      <c r="F57" s="68"/>
      <c r="G57" s="68" t="s">
        <v>148</v>
      </c>
      <c r="R57" s="45"/>
      <c r="S57" s="51" t="s">
        <v>135</v>
      </c>
      <c r="T57" s="52" t="s">
        <v>110</v>
      </c>
      <c r="U57" s="52" t="s">
        <v>111</v>
      </c>
      <c r="W57" s="39" t="s">
        <v>10</v>
      </c>
      <c r="X57" s="56" t="s">
        <v>136</v>
      </c>
      <c r="Y57" s="44"/>
      <c r="AA57" s="13"/>
      <c r="AB57" s="13"/>
    </row>
    <row r="58" spans="1:28" ht="15.75" x14ac:dyDescent="0.25">
      <c r="A58" s="69" t="s">
        <v>176</v>
      </c>
      <c r="B58" s="163" t="s">
        <v>146</v>
      </c>
      <c r="C58" s="70">
        <v>1</v>
      </c>
      <c r="D58" s="120"/>
      <c r="E58" s="71">
        <v>11105432891845.699</v>
      </c>
      <c r="F58" s="71"/>
      <c r="G58" s="72" t="e">
        <f>E58/F58</f>
        <v>#DIV/0!</v>
      </c>
      <c r="R58" s="43"/>
      <c r="S58" s="53"/>
      <c r="T58" s="36">
        <f>VLOOKUP($T$57,Eingaben!$B$3:$G$7,5,FALSE)</f>
        <v>82400000000</v>
      </c>
      <c r="U58" s="36">
        <v>79700000000</v>
      </c>
      <c r="W58" s="38" t="s">
        <v>110</v>
      </c>
      <c r="X58" s="64">
        <v>55825067306.518661</v>
      </c>
      <c r="Y58" s="44"/>
      <c r="AA58" s="13"/>
      <c r="AB58" s="13"/>
    </row>
    <row r="59" spans="1:28" ht="15.75" x14ac:dyDescent="0.25">
      <c r="A59" s="69" t="s">
        <v>150</v>
      </c>
      <c r="B59" s="164"/>
      <c r="C59" s="70">
        <v>2</v>
      </c>
      <c r="D59" s="121"/>
      <c r="E59" s="71">
        <v>10948009490966.801</v>
      </c>
      <c r="F59" s="71"/>
      <c r="G59" s="72" t="e">
        <f>E59/F59</f>
        <v>#DIV/0!</v>
      </c>
      <c r="R59" s="43"/>
      <c r="S59" s="54" t="s">
        <v>113</v>
      </c>
      <c r="T59" s="34">
        <f>VLOOKUP($T$57,Eingaben!$B$3:$G$7,3,FALSE)</f>
        <v>75600000000</v>
      </c>
      <c r="U59" s="34">
        <v>73000000000</v>
      </c>
      <c r="W59" s="3" t="s">
        <v>114</v>
      </c>
      <c r="X59" s="64" t="s">
        <v>171</v>
      </c>
      <c r="Y59" s="44"/>
      <c r="AA59" s="13"/>
      <c r="AB59" s="13"/>
    </row>
    <row r="60" spans="1:28" ht="24" customHeight="1" x14ac:dyDescent="0.25">
      <c r="D60" s="73"/>
      <c r="E60" s="74">
        <f>AVERAGE(E58:E59)</f>
        <v>11026721191406.25</v>
      </c>
      <c r="F60" s="74"/>
      <c r="G60" s="72" t="e">
        <f>E60/F60</f>
        <v>#DIV/0!</v>
      </c>
      <c r="R60" s="43"/>
      <c r="S60" s="55"/>
      <c r="T60" s="33">
        <f>VLOOKUP($T$57,Eingaben!$B$3:$G$7,2, FALSE)</f>
        <v>62000000000</v>
      </c>
      <c r="U60" s="33">
        <v>59400000000</v>
      </c>
      <c r="W60" s="3" t="s">
        <v>116</v>
      </c>
      <c r="X60" s="64" t="s">
        <v>171</v>
      </c>
      <c r="Y60" s="44"/>
    </row>
    <row r="61" spans="1:28" x14ac:dyDescent="0.25">
      <c r="D61" s="75" t="s">
        <v>145</v>
      </c>
      <c r="E61" s="76">
        <f>100*_xlfn.STDEV.P(E58:E59)/E60</f>
        <v>0.71382688537362959</v>
      </c>
      <c r="F61" s="76"/>
      <c r="R61" s="43"/>
      <c r="S61" s="54" t="s">
        <v>117</v>
      </c>
      <c r="T61" s="34">
        <f>VLOOKUP($T$57,Eingaben!$B$3:$G$7,4,FALSE)</f>
        <v>48400000000</v>
      </c>
      <c r="U61" s="34">
        <v>45900000000</v>
      </c>
      <c r="W61" s="3" t="s">
        <v>111</v>
      </c>
      <c r="X61" s="64">
        <v>48136801132.202209</v>
      </c>
      <c r="Y61" s="44"/>
    </row>
    <row r="62" spans="1:28" x14ac:dyDescent="0.25">
      <c r="R62" s="43"/>
      <c r="S62" s="53"/>
      <c r="T62" s="36">
        <f>VLOOKUP($T$57,Eingaben!$B$3:$G$7,6,FALSE)</f>
        <v>41600000000</v>
      </c>
      <c r="U62" s="36">
        <v>39100000000</v>
      </c>
      <c r="W62" s="3" t="s">
        <v>119</v>
      </c>
      <c r="X62" s="64" t="s">
        <v>171</v>
      </c>
      <c r="Y62" s="44"/>
    </row>
    <row r="63" spans="1:28" ht="30.75" x14ac:dyDescent="0.25">
      <c r="A63" s="65" t="s">
        <v>141</v>
      </c>
      <c r="B63" s="65" t="s">
        <v>142</v>
      </c>
      <c r="C63" s="66" t="s">
        <v>143</v>
      </c>
      <c r="D63" s="67" t="s">
        <v>144</v>
      </c>
      <c r="E63" s="68" t="s">
        <v>147</v>
      </c>
      <c r="F63" s="68"/>
      <c r="G63" s="68" t="s">
        <v>148</v>
      </c>
      <c r="R63" s="43"/>
      <c r="Y63" s="44"/>
    </row>
    <row r="64" spans="1:28" ht="15.75" x14ac:dyDescent="0.25">
      <c r="A64" s="69" t="s">
        <v>176</v>
      </c>
      <c r="B64" s="163" t="s">
        <v>146</v>
      </c>
      <c r="C64" s="70">
        <v>1</v>
      </c>
      <c r="D64" s="120"/>
      <c r="E64" s="71">
        <v>13063458633422.852</v>
      </c>
      <c r="F64" s="71"/>
      <c r="G64" s="72" t="e">
        <f>E64/F64</f>
        <v>#DIV/0!</v>
      </c>
      <c r="R64" s="45"/>
      <c r="S64" s="57"/>
      <c r="T64" s="52" t="s">
        <v>110</v>
      </c>
      <c r="U64" s="52" t="s">
        <v>122</v>
      </c>
      <c r="W64" s="39" t="s">
        <v>10</v>
      </c>
      <c r="X64" s="56" t="s">
        <v>137</v>
      </c>
      <c r="Y64" s="44"/>
    </row>
    <row r="65" spans="1:25" ht="15.75" x14ac:dyDescent="0.25">
      <c r="A65" s="69" t="s">
        <v>150</v>
      </c>
      <c r="B65" s="164"/>
      <c r="C65" s="70">
        <v>2</v>
      </c>
      <c r="D65" s="121"/>
      <c r="E65" s="71">
        <v>10008462524414.051</v>
      </c>
      <c r="F65" s="71"/>
      <c r="G65" s="72" t="e">
        <f>E65/F65</f>
        <v>#DIV/0!</v>
      </c>
      <c r="R65" s="43"/>
      <c r="S65" s="35" t="s">
        <v>112</v>
      </c>
      <c r="T65" s="36">
        <f>VLOOKUP($T$64,Eingaben!$B$11:$G$16,5, FALSE)</f>
        <v>191000000000</v>
      </c>
      <c r="U65" s="36">
        <v>251000000000</v>
      </c>
      <c r="W65" s="3" t="s">
        <v>110</v>
      </c>
      <c r="X65" s="64">
        <v>139838912963.86725</v>
      </c>
      <c r="Y65" s="44"/>
    </row>
    <row r="66" spans="1:25" x14ac:dyDescent="0.25">
      <c r="D66" s="73"/>
      <c r="E66" s="74">
        <f>AVERAGE(E64:E65)</f>
        <v>11535960578918.451</v>
      </c>
      <c r="F66" s="74"/>
      <c r="G66" s="72" t="e">
        <f>E66/F66</f>
        <v>#DIV/0!</v>
      </c>
      <c r="R66" s="43"/>
      <c r="S66" s="31"/>
      <c r="T66" s="34">
        <f>VLOOKUP($T$64,Eingaben!$B$11:$G$16,3, FALSE)</f>
        <v>171000000000</v>
      </c>
      <c r="U66" s="34">
        <v>230000000000</v>
      </c>
      <c r="W66" s="3" t="s">
        <v>122</v>
      </c>
      <c r="X66" s="64">
        <v>199629959106.4455</v>
      </c>
      <c r="Y66" s="44"/>
    </row>
    <row r="67" spans="1:25" x14ac:dyDescent="0.25">
      <c r="D67" s="75" t="s">
        <v>145</v>
      </c>
      <c r="E67" s="76">
        <f>100*_xlfn.STDEV.P(E64:E65)/E66</f>
        <v>13.24118649725491</v>
      </c>
      <c r="F67" s="76"/>
      <c r="R67" s="43"/>
      <c r="S67" s="32" t="s">
        <v>115</v>
      </c>
      <c r="T67" s="33">
        <f>VLOOKUP($T$64,Eingaben!$B$11:$G$16,2, FALSE)</f>
        <v>132000000000</v>
      </c>
      <c r="U67" s="33">
        <v>187000000000</v>
      </c>
      <c r="W67" s="3" t="s">
        <v>114</v>
      </c>
      <c r="X67" s="64" t="s">
        <v>171</v>
      </c>
      <c r="Y67" s="44"/>
    </row>
    <row r="68" spans="1:25" x14ac:dyDescent="0.25">
      <c r="R68" s="43"/>
      <c r="S68" s="31"/>
      <c r="T68" s="34">
        <f>VLOOKUP($T$64,Eingaben!$B$11:$G$16,4, FALSE)</f>
        <v>92000000000</v>
      </c>
      <c r="U68" s="34">
        <v>144000000000</v>
      </c>
      <c r="W68" s="3" t="s">
        <v>121</v>
      </c>
      <c r="X68" s="64" t="s">
        <v>171</v>
      </c>
      <c r="Y68" s="44"/>
    </row>
    <row r="69" spans="1:25" ht="30.75" x14ac:dyDescent="0.25">
      <c r="A69" s="65" t="s">
        <v>141</v>
      </c>
      <c r="B69" s="65" t="s">
        <v>142</v>
      </c>
      <c r="C69" s="66" t="s">
        <v>143</v>
      </c>
      <c r="D69" s="67" t="s">
        <v>144</v>
      </c>
      <c r="E69" s="68" t="s">
        <v>147</v>
      </c>
      <c r="F69" s="68"/>
      <c r="G69" s="68" t="s">
        <v>148</v>
      </c>
      <c r="R69" s="43"/>
      <c r="S69" s="35" t="s">
        <v>118</v>
      </c>
      <c r="T69" s="36">
        <f>VLOOKUP($T$64,Eingaben!$B$11:$G$16,6, FALSE)</f>
        <v>72300000000</v>
      </c>
      <c r="U69" s="36">
        <v>123000000000</v>
      </c>
      <c r="W69" s="3" t="s">
        <v>116</v>
      </c>
      <c r="X69" s="64" t="s">
        <v>171</v>
      </c>
      <c r="Y69" s="44"/>
    </row>
    <row r="70" spans="1:25" ht="15.75" x14ac:dyDescent="0.25">
      <c r="A70" s="165" t="s">
        <v>177</v>
      </c>
      <c r="B70" s="168" t="s">
        <v>146</v>
      </c>
      <c r="C70" s="70">
        <v>1</v>
      </c>
      <c r="D70" s="102"/>
      <c r="E70" s="71">
        <v>55290080688.476639</v>
      </c>
      <c r="F70" s="71"/>
      <c r="G70" s="72" t="e">
        <f>E70/F70</f>
        <v>#DIV/0!</v>
      </c>
      <c r="R70" s="43"/>
      <c r="W70" s="3" t="s">
        <v>119</v>
      </c>
      <c r="X70" s="64" t="s">
        <v>171</v>
      </c>
      <c r="Y70" s="44"/>
    </row>
    <row r="71" spans="1:25" ht="16.5" thickBot="1" x14ac:dyDescent="0.3">
      <c r="A71" s="166"/>
      <c r="B71" s="168"/>
      <c r="C71" s="70">
        <v>2</v>
      </c>
      <c r="D71" s="103"/>
      <c r="E71" s="71">
        <v>56360053924.560677</v>
      </c>
      <c r="F71" s="71"/>
      <c r="G71" s="72" t="e">
        <f>E71/F71</f>
        <v>#DIV/0!</v>
      </c>
      <c r="R71" s="46"/>
      <c r="S71" s="47"/>
      <c r="T71" s="47"/>
      <c r="U71" s="47"/>
      <c r="V71" s="47"/>
      <c r="W71" s="47"/>
      <c r="X71" s="47"/>
      <c r="Y71" s="48"/>
    </row>
    <row r="72" spans="1:25" ht="16.5" thickTop="1" x14ac:dyDescent="0.25">
      <c r="A72" s="165" t="s">
        <v>179</v>
      </c>
      <c r="B72" s="168"/>
      <c r="C72" s="70">
        <v>1</v>
      </c>
      <c r="D72" s="103"/>
      <c r="E72" s="71">
        <v>60152744018.554611</v>
      </c>
      <c r="F72" s="71"/>
      <c r="G72" s="72" t="e">
        <f t="shared" ref="G72:G76" si="163">E72/F72</f>
        <v>#DIV/0!</v>
      </c>
      <c r="S72" s="37"/>
    </row>
    <row r="73" spans="1:25" ht="15.75" x14ac:dyDescent="0.25">
      <c r="A73" s="166"/>
      <c r="B73" s="168"/>
      <c r="C73" s="70">
        <v>2</v>
      </c>
      <c r="D73" s="103"/>
      <c r="E73" s="71">
        <v>57081538848.876823</v>
      </c>
      <c r="F73" s="71"/>
      <c r="G73" s="72" t="e">
        <f t="shared" si="163"/>
        <v>#DIV/0!</v>
      </c>
    </row>
    <row r="74" spans="1:25" ht="15.75" x14ac:dyDescent="0.25">
      <c r="A74" s="165" t="s">
        <v>180</v>
      </c>
      <c r="B74" s="168"/>
      <c r="C74" s="70">
        <v>1</v>
      </c>
      <c r="D74" s="103"/>
      <c r="E74" s="71">
        <v>68192740966.79702</v>
      </c>
      <c r="F74" s="71"/>
      <c r="G74" s="72" t="e">
        <f t="shared" si="163"/>
        <v>#DIV/0!</v>
      </c>
    </row>
    <row r="75" spans="1:25" ht="15.75" x14ac:dyDescent="0.25">
      <c r="A75" s="166"/>
      <c r="B75" s="168"/>
      <c r="C75" s="70">
        <v>2</v>
      </c>
      <c r="D75" s="103"/>
      <c r="E75" s="71">
        <v>71569680206.298843</v>
      </c>
      <c r="F75" s="71"/>
      <c r="G75" s="72" t="e">
        <f t="shared" si="163"/>
        <v>#DIV/0!</v>
      </c>
    </row>
    <row r="76" spans="1:25" ht="15.75" x14ac:dyDescent="0.25">
      <c r="A76" s="69" t="s">
        <v>181</v>
      </c>
      <c r="B76" s="168"/>
      <c r="C76" s="70">
        <v>1</v>
      </c>
      <c r="D76" s="104"/>
      <c r="E76" s="71">
        <v>74420441589.355591</v>
      </c>
      <c r="F76" s="71"/>
      <c r="G76" s="72" t="e">
        <f t="shared" si="163"/>
        <v>#DIV/0!</v>
      </c>
    </row>
    <row r="77" spans="1:25" x14ac:dyDescent="0.25">
      <c r="D77" s="73" t="s">
        <v>178</v>
      </c>
      <c r="E77" s="74">
        <f>AVERAGE(E70:E76)</f>
        <v>63295325748.988594</v>
      </c>
      <c r="F77" s="74"/>
      <c r="G77" s="72" t="e">
        <f>E77/F77</f>
        <v>#DIV/0!</v>
      </c>
    </row>
    <row r="78" spans="1:25" x14ac:dyDescent="0.25">
      <c r="D78" s="75"/>
      <c r="E78" s="76">
        <f>100*_xlfn.STDEV.P(E70:E76)/E77</f>
        <v>11.592704470127508</v>
      </c>
      <c r="F78" s="76"/>
    </row>
    <row r="80" spans="1:25" ht="30.75" x14ac:dyDescent="0.25">
      <c r="A80" s="65" t="s">
        <v>141</v>
      </c>
      <c r="B80" s="65" t="s">
        <v>142</v>
      </c>
      <c r="C80" s="66" t="s">
        <v>143</v>
      </c>
      <c r="D80" s="67"/>
      <c r="E80" s="68" t="s">
        <v>147</v>
      </c>
      <c r="F80" s="68"/>
      <c r="G80" s="68" t="s">
        <v>148</v>
      </c>
    </row>
    <row r="81" spans="1:7" ht="15.75" x14ac:dyDescent="0.25">
      <c r="A81" s="167" t="s">
        <v>177</v>
      </c>
      <c r="B81" s="168" t="s">
        <v>146</v>
      </c>
      <c r="C81" s="70">
        <v>1</v>
      </c>
      <c r="D81" s="101" t="s">
        <v>153</v>
      </c>
      <c r="E81" s="71">
        <v>139534576416.0155</v>
      </c>
      <c r="F81" s="71"/>
      <c r="G81" s="72" t="e">
        <f>E81/F81</f>
        <v>#DIV/0!</v>
      </c>
    </row>
    <row r="82" spans="1:7" ht="15.75" x14ac:dyDescent="0.25">
      <c r="A82" s="167"/>
      <c r="B82" s="168"/>
      <c r="C82" s="70">
        <v>2</v>
      </c>
      <c r="D82" s="101"/>
      <c r="E82" s="71">
        <v>140143249511.71899</v>
      </c>
      <c r="F82" s="71"/>
      <c r="G82" s="72" t="e">
        <f>E82/F82</f>
        <v>#DIV/0!</v>
      </c>
    </row>
    <row r="83" spans="1:7" ht="15.75" x14ac:dyDescent="0.25">
      <c r="A83" s="167" t="s">
        <v>179</v>
      </c>
      <c r="B83" s="168"/>
      <c r="C83" s="70">
        <v>1</v>
      </c>
      <c r="D83" s="101"/>
      <c r="E83" s="71">
        <v>137309417724.6095</v>
      </c>
      <c r="F83" s="71"/>
      <c r="G83" s="72" t="e">
        <f t="shared" ref="G83:G94" si="164">E83/F83</f>
        <v>#DIV/0!</v>
      </c>
    </row>
    <row r="84" spans="1:7" ht="15.75" x14ac:dyDescent="0.25">
      <c r="A84" s="167"/>
      <c r="B84" s="168"/>
      <c r="C84" s="70">
        <v>2</v>
      </c>
      <c r="D84" s="101"/>
      <c r="E84" s="71">
        <v>132965225219.72652</v>
      </c>
      <c r="F84" s="71"/>
      <c r="G84" s="72" t="e">
        <f t="shared" si="164"/>
        <v>#DIV/0!</v>
      </c>
    </row>
    <row r="85" spans="1:7" ht="15.75" x14ac:dyDescent="0.25">
      <c r="A85" s="167"/>
      <c r="B85" s="168"/>
      <c r="C85" s="70">
        <v>1</v>
      </c>
      <c r="D85" s="101"/>
      <c r="E85" s="71">
        <v>138796569824.21899</v>
      </c>
      <c r="F85" s="71"/>
      <c r="G85" s="72" t="e">
        <f t="shared" si="164"/>
        <v>#DIV/0!</v>
      </c>
    </row>
    <row r="86" spans="1:7" ht="15.75" x14ac:dyDescent="0.25">
      <c r="A86" s="167"/>
      <c r="B86" s="168"/>
      <c r="C86" s="70">
        <v>2</v>
      </c>
      <c r="D86" s="101"/>
      <c r="E86" s="71">
        <v>132871719360.35152</v>
      </c>
      <c r="F86" s="71"/>
      <c r="G86" s="72" t="e">
        <f t="shared" si="164"/>
        <v>#DIV/0!</v>
      </c>
    </row>
    <row r="87" spans="1:7" ht="15.75" x14ac:dyDescent="0.25">
      <c r="A87" s="167" t="s">
        <v>180</v>
      </c>
      <c r="B87" s="168"/>
      <c r="C87" s="70">
        <v>1</v>
      </c>
      <c r="D87" s="101"/>
      <c r="E87" s="71">
        <v>164797119140.625</v>
      </c>
      <c r="F87" s="71"/>
      <c r="G87" s="72" t="e">
        <f t="shared" si="164"/>
        <v>#DIV/0!</v>
      </c>
    </row>
    <row r="88" spans="1:7" ht="15.75" x14ac:dyDescent="0.25">
      <c r="A88" s="167"/>
      <c r="B88" s="168"/>
      <c r="C88" s="70">
        <v>2</v>
      </c>
      <c r="D88" s="101"/>
      <c r="E88" s="71">
        <v>166955169677.7345</v>
      </c>
      <c r="F88" s="71"/>
      <c r="G88" s="72" t="e">
        <f t="shared" si="164"/>
        <v>#DIV/0!</v>
      </c>
    </row>
    <row r="89" spans="1:7" ht="15.75" x14ac:dyDescent="0.25">
      <c r="A89" s="167"/>
      <c r="B89" s="168"/>
      <c r="C89" s="70">
        <v>1</v>
      </c>
      <c r="D89" s="101"/>
      <c r="E89" s="71">
        <v>167116607666.0155</v>
      </c>
      <c r="F89" s="71"/>
      <c r="G89" s="72" t="e">
        <f t="shared" si="164"/>
        <v>#DIV/0!</v>
      </c>
    </row>
    <row r="90" spans="1:7" ht="15.75" x14ac:dyDescent="0.25">
      <c r="A90" s="167"/>
      <c r="B90" s="168"/>
      <c r="C90" s="70">
        <v>2</v>
      </c>
      <c r="D90" s="101"/>
      <c r="E90" s="71">
        <v>161602462768.55447</v>
      </c>
      <c r="F90" s="71"/>
      <c r="G90" s="72" t="e">
        <f t="shared" si="164"/>
        <v>#DIV/0!</v>
      </c>
    </row>
    <row r="91" spans="1:7" ht="15.75" x14ac:dyDescent="0.25">
      <c r="A91" s="167" t="s">
        <v>181</v>
      </c>
      <c r="B91" s="168"/>
      <c r="C91" s="70">
        <v>1</v>
      </c>
      <c r="D91" s="101"/>
      <c r="E91" s="71">
        <v>130416992187.5</v>
      </c>
      <c r="F91" s="71"/>
      <c r="G91" s="72" t="e">
        <f t="shared" si="164"/>
        <v>#DIV/0!</v>
      </c>
    </row>
    <row r="92" spans="1:7" ht="15.75" x14ac:dyDescent="0.25">
      <c r="A92" s="167"/>
      <c r="B92" s="168"/>
      <c r="C92" s="70">
        <v>2</v>
      </c>
      <c r="D92" s="101"/>
      <c r="E92" s="71">
        <v>154954025268.55447</v>
      </c>
      <c r="F92" s="71"/>
      <c r="G92" s="72" t="e">
        <f t="shared" si="164"/>
        <v>#DIV/0!</v>
      </c>
    </row>
    <row r="93" spans="1:7" ht="15.75" x14ac:dyDescent="0.25">
      <c r="A93" s="167"/>
      <c r="B93" s="168"/>
      <c r="C93" s="70">
        <v>1</v>
      </c>
      <c r="D93" s="101"/>
      <c r="E93" s="71">
        <v>114882637023.92599</v>
      </c>
      <c r="F93" s="71"/>
      <c r="G93" s="72" t="e">
        <f t="shared" si="164"/>
        <v>#DIV/0!</v>
      </c>
    </row>
    <row r="94" spans="1:7" ht="15.75" x14ac:dyDescent="0.25">
      <c r="A94" s="167"/>
      <c r="B94" s="168"/>
      <c r="C94" s="70">
        <v>2</v>
      </c>
      <c r="D94" s="101"/>
      <c r="E94" s="71">
        <v>123144088745.117</v>
      </c>
      <c r="F94" s="71"/>
      <c r="G94" s="72" t="e">
        <f t="shared" si="164"/>
        <v>#DIV/0!</v>
      </c>
    </row>
    <row r="95" spans="1:7" x14ac:dyDescent="0.25">
      <c r="D95" s="93" t="s">
        <v>178</v>
      </c>
      <c r="E95" s="74">
        <f>AVERAGE(E81:E94)</f>
        <v>143249275752.47629</v>
      </c>
      <c r="F95" s="74"/>
      <c r="G95" s="94" t="e">
        <f>E95/F95</f>
        <v>#DIV/0!</v>
      </c>
    </row>
    <row r="96" spans="1:7" x14ac:dyDescent="0.25">
      <c r="D96" s="75"/>
      <c r="E96" s="76">
        <f>100*_xlfn.STDEV.P(E81:E94)/E95</f>
        <v>11.402711336177983</v>
      </c>
      <c r="F96" s="76"/>
    </row>
  </sheetData>
  <mergeCells count="234">
    <mergeCell ref="B58:B59"/>
    <mergeCell ref="D58:D59"/>
    <mergeCell ref="B64:B65"/>
    <mergeCell ref="D64:D65"/>
    <mergeCell ref="A70:A71"/>
    <mergeCell ref="A72:A73"/>
    <mergeCell ref="A81:A82"/>
    <mergeCell ref="A83:A86"/>
    <mergeCell ref="B81:B94"/>
    <mergeCell ref="A87:A90"/>
    <mergeCell ref="A91:A94"/>
    <mergeCell ref="A74:A75"/>
    <mergeCell ref="B70:B76"/>
    <mergeCell ref="W42:W43"/>
    <mergeCell ref="Q52:Q53"/>
    <mergeCell ref="Q30:Q31"/>
    <mergeCell ref="Q32:Q33"/>
    <mergeCell ref="Q34:Q35"/>
    <mergeCell ref="Q36:Q37"/>
    <mergeCell ref="Q38:Q39"/>
    <mergeCell ref="Q40:Q41"/>
    <mergeCell ref="A55:G55"/>
    <mergeCell ref="S46:S47"/>
    <mergeCell ref="S48:S49"/>
    <mergeCell ref="S50:S51"/>
    <mergeCell ref="S52:S53"/>
    <mergeCell ref="W44:W45"/>
    <mergeCell ref="W46:W47"/>
    <mergeCell ref="W48:W49"/>
    <mergeCell ref="W50:W51"/>
    <mergeCell ref="W52:W53"/>
    <mergeCell ref="D46:D47"/>
    <mergeCell ref="D48:D49"/>
    <mergeCell ref="D50:D51"/>
    <mergeCell ref="D52:D53"/>
    <mergeCell ref="Q46:Q47"/>
    <mergeCell ref="Q48:Q49"/>
    <mergeCell ref="R9:S9"/>
    <mergeCell ref="H18:H19"/>
    <mergeCell ref="H20:H21"/>
    <mergeCell ref="H22:H23"/>
    <mergeCell ref="H24:H25"/>
    <mergeCell ref="H26:H27"/>
    <mergeCell ref="H28:H29"/>
    <mergeCell ref="H30:H31"/>
    <mergeCell ref="H32:H33"/>
    <mergeCell ref="H10:H11"/>
    <mergeCell ref="H12:H13"/>
    <mergeCell ref="H14:H15"/>
    <mergeCell ref="H16:H17"/>
    <mergeCell ref="J10:J11"/>
    <mergeCell ref="J12:J13"/>
    <mergeCell ref="J14:J15"/>
    <mergeCell ref="S28:S29"/>
    <mergeCell ref="S30:S31"/>
    <mergeCell ref="S32:S33"/>
    <mergeCell ref="J18:J19"/>
    <mergeCell ref="K32:K33"/>
    <mergeCell ref="L32:L33"/>
    <mergeCell ref="M32:M33"/>
    <mergeCell ref="N32:N33"/>
    <mergeCell ref="P1:V1"/>
    <mergeCell ref="P2:V2"/>
    <mergeCell ref="P3:V3"/>
    <mergeCell ref="P4:V4"/>
    <mergeCell ref="P5:V5"/>
    <mergeCell ref="P7:V7"/>
    <mergeCell ref="P6:V6"/>
    <mergeCell ref="A1:J2"/>
    <mergeCell ref="C4:D4"/>
    <mergeCell ref="C5:D5"/>
    <mergeCell ref="C9:D9"/>
    <mergeCell ref="H40:H41"/>
    <mergeCell ref="W26:W27"/>
    <mergeCell ref="W28:W29"/>
    <mergeCell ref="W30:W31"/>
    <mergeCell ref="W32:W33"/>
    <mergeCell ref="A6:B6"/>
    <mergeCell ref="C6:D6"/>
    <mergeCell ref="A4:B4"/>
    <mergeCell ref="W34:W35"/>
    <mergeCell ref="W36:W37"/>
    <mergeCell ref="W38:W39"/>
    <mergeCell ref="W40:W41"/>
    <mergeCell ref="P8:Y8"/>
    <mergeCell ref="W10:W11"/>
    <mergeCell ref="W12:W13"/>
    <mergeCell ref="W14:W15"/>
    <mergeCell ref="W16:W17"/>
    <mergeCell ref="W18:W19"/>
    <mergeCell ref="W20:W21"/>
    <mergeCell ref="W22:W23"/>
    <mergeCell ref="W24:W25"/>
    <mergeCell ref="D10:D11"/>
    <mergeCell ref="D12:D13"/>
    <mergeCell ref="Y10:Y11"/>
    <mergeCell ref="Y12:Y13"/>
    <mergeCell ref="Y14:Y15"/>
    <mergeCell ref="H50:H51"/>
    <mergeCell ref="H52:H53"/>
    <mergeCell ref="Q10:Q11"/>
    <mergeCell ref="Q12:Q13"/>
    <mergeCell ref="Q14:Q15"/>
    <mergeCell ref="Q16:Q17"/>
    <mergeCell ref="Q18:Q19"/>
    <mergeCell ref="Q20:Q21"/>
    <mergeCell ref="Q22:Q23"/>
    <mergeCell ref="Q24:Q25"/>
    <mergeCell ref="Q26:Q27"/>
    <mergeCell ref="Q28:Q29"/>
    <mergeCell ref="H44:H45"/>
    <mergeCell ref="H34:H35"/>
    <mergeCell ref="H42:H43"/>
    <mergeCell ref="H46:H47"/>
    <mergeCell ref="H48:H49"/>
    <mergeCell ref="H36:H37"/>
    <mergeCell ref="H38:H39"/>
    <mergeCell ref="S44:S45"/>
    <mergeCell ref="Q44:Q45"/>
    <mergeCell ref="D14:D15"/>
    <mergeCell ref="D16:D17"/>
    <mergeCell ref="D18:D19"/>
    <mergeCell ref="D20:D21"/>
    <mergeCell ref="D22:D23"/>
    <mergeCell ref="D24:D25"/>
    <mergeCell ref="D26:D27"/>
    <mergeCell ref="D28:D29"/>
    <mergeCell ref="D30:D31"/>
    <mergeCell ref="B10:B11"/>
    <mergeCell ref="B12:B13"/>
    <mergeCell ref="B14:B15"/>
    <mergeCell ref="B16:B17"/>
    <mergeCell ref="B18:B19"/>
    <mergeCell ref="B20:B21"/>
    <mergeCell ref="B22:B23"/>
    <mergeCell ref="B24:B25"/>
    <mergeCell ref="B26:B27"/>
    <mergeCell ref="Q50:Q51"/>
    <mergeCell ref="B46:B47"/>
    <mergeCell ref="B48:B49"/>
    <mergeCell ref="B50:B51"/>
    <mergeCell ref="B52:B53"/>
    <mergeCell ref="B28:B29"/>
    <mergeCell ref="B30:B31"/>
    <mergeCell ref="B32:B33"/>
    <mergeCell ref="B34:B35"/>
    <mergeCell ref="B36:B37"/>
    <mergeCell ref="B38:B39"/>
    <mergeCell ref="B40:B41"/>
    <mergeCell ref="B42:B43"/>
    <mergeCell ref="B44:B45"/>
    <mergeCell ref="D32:D33"/>
    <mergeCell ref="D34:D35"/>
    <mergeCell ref="D36:D37"/>
    <mergeCell ref="D38:D39"/>
    <mergeCell ref="D40:D41"/>
    <mergeCell ref="D42:D43"/>
    <mergeCell ref="D44:D45"/>
    <mergeCell ref="J48:J49"/>
    <mergeCell ref="J50:J51"/>
    <mergeCell ref="J52:J53"/>
    <mergeCell ref="S34:S35"/>
    <mergeCell ref="S36:S37"/>
    <mergeCell ref="S38:S39"/>
    <mergeCell ref="S40:S41"/>
    <mergeCell ref="S42:S43"/>
    <mergeCell ref="Q42:Q43"/>
    <mergeCell ref="S10:S11"/>
    <mergeCell ref="S12:S13"/>
    <mergeCell ref="S14:S15"/>
    <mergeCell ref="S16:S17"/>
    <mergeCell ref="S18:S19"/>
    <mergeCell ref="S20:S21"/>
    <mergeCell ref="S22:S23"/>
    <mergeCell ref="S24:S25"/>
    <mergeCell ref="S26:S27"/>
    <mergeCell ref="Y18:Y19"/>
    <mergeCell ref="J40:J41"/>
    <mergeCell ref="J42:J43"/>
    <mergeCell ref="Y40:Y41"/>
    <mergeCell ref="Y42:Y43"/>
    <mergeCell ref="J44:J45"/>
    <mergeCell ref="Y44:Y45"/>
    <mergeCell ref="J46:J47"/>
    <mergeCell ref="L24:L25"/>
    <mergeCell ref="M24:M25"/>
    <mergeCell ref="N24:N25"/>
    <mergeCell ref="K26:K27"/>
    <mergeCell ref="L26:L27"/>
    <mergeCell ref="M26:M27"/>
    <mergeCell ref="N26:N27"/>
    <mergeCell ref="K28:K29"/>
    <mergeCell ref="L28:L29"/>
    <mergeCell ref="M28:M29"/>
    <mergeCell ref="N28:N29"/>
    <mergeCell ref="K30:K31"/>
    <mergeCell ref="L30:L31"/>
    <mergeCell ref="M30:M31"/>
    <mergeCell ref="N30:N31"/>
    <mergeCell ref="Y46:Y47"/>
    <mergeCell ref="Y48:Y49"/>
    <mergeCell ref="Y50:Y51"/>
    <mergeCell ref="Y52:Y53"/>
    <mergeCell ref="K16:K17"/>
    <mergeCell ref="L16:L17"/>
    <mergeCell ref="M16:M17"/>
    <mergeCell ref="N16:N17"/>
    <mergeCell ref="K18:K19"/>
    <mergeCell ref="L18:L19"/>
    <mergeCell ref="M18:M19"/>
    <mergeCell ref="N18:N19"/>
    <mergeCell ref="K20:K21"/>
    <mergeCell ref="L20:L21"/>
    <mergeCell ref="M20:M21"/>
    <mergeCell ref="N20:N21"/>
    <mergeCell ref="K22:K23"/>
    <mergeCell ref="L22:L23"/>
    <mergeCell ref="M22:M23"/>
    <mergeCell ref="N22:N23"/>
    <mergeCell ref="K24:K25"/>
    <mergeCell ref="K38:K39"/>
    <mergeCell ref="L38:L39"/>
    <mergeCell ref="M38:M39"/>
    <mergeCell ref="N38:N39"/>
    <mergeCell ref="K34:K35"/>
    <mergeCell ref="L34:L35"/>
    <mergeCell ref="M34:M35"/>
    <mergeCell ref="N34:N35"/>
    <mergeCell ref="K36:K37"/>
    <mergeCell ref="L36:L37"/>
    <mergeCell ref="M36:M37"/>
    <mergeCell ref="N36:N37"/>
    <mergeCell ref="D81:D94"/>
    <mergeCell ref="D70:D76"/>
  </mergeCells>
  <conditionalFormatting sqref="I11">
    <cfRule type="cellIs" dxfId="48" priority="185" operator="greaterThan">
      <formula>"20,00%"</formula>
    </cfRule>
    <cfRule type="cellIs" dxfId="47" priority="186" operator="greaterThan">
      <formula>"20,0%"</formula>
    </cfRule>
    <cfRule type="cellIs" dxfId="46" priority="187" operator="greaterThan">
      <formula>20</formula>
    </cfRule>
  </conditionalFormatting>
  <conditionalFormatting sqref="I13 I15 I17 I19 I21">
    <cfRule type="cellIs" dxfId="45" priority="146" operator="greaterThan">
      <formula>"20,00%"</formula>
    </cfRule>
    <cfRule type="cellIs" dxfId="44" priority="147" operator="greaterThan">
      <formula>"20,0%"</formula>
    </cfRule>
    <cfRule type="cellIs" dxfId="43" priority="148" operator="greaterThan">
      <formula>20</formula>
    </cfRule>
  </conditionalFormatting>
  <conditionalFormatting sqref="I23 I25 I27 I29 I31 I33 I35 I37 I39 I41 I43 I45 I47 I49 I51 I53">
    <cfRule type="cellIs" dxfId="42" priority="143" operator="greaterThan">
      <formula>"20,00%"</formula>
    </cfRule>
    <cfRule type="cellIs" dxfId="41" priority="144" operator="greaterThan">
      <formula>"20,0%"</formula>
    </cfRule>
    <cfRule type="cellIs" dxfId="40" priority="145" operator="greaterThan">
      <formula>20</formula>
    </cfRule>
  </conditionalFormatting>
  <conditionalFormatting sqref="X11 X13 X15 X17 X19 X21 X23 X25 X27 X29 X31 X33 X35 X37 X39 X41 X43 X45 X47 X49 X51 X53">
    <cfRule type="cellIs" dxfId="39" priority="117" operator="greaterThan">
      <formula>"20,00%"</formula>
    </cfRule>
    <cfRule type="cellIs" dxfId="38" priority="118" operator="greaterThan">
      <formula>"20,0%"</formula>
    </cfRule>
    <cfRule type="cellIs" dxfId="37" priority="119" operator="greaterThan">
      <formula>20</formula>
    </cfRule>
  </conditionalFormatting>
  <conditionalFormatting sqref="T10:T53 E10:E53">
    <cfRule type="cellIs" dxfId="36" priority="26" operator="lessThan">
      <formula>15</formula>
    </cfRule>
  </conditionalFormatting>
  <printOptions headings="1" gridLines="1"/>
  <pageMargins left="0.7" right="0.7" top="0.78740157499999996" bottom="0.78740157499999996" header="0.3" footer="0.3"/>
  <pageSetup paperSize="9" scale="31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88" operator="lessThanOrEqual" id="{4FCDB0EF-A886-40C4-B5C4-C463864BFA37}">
            <xm:f>Eingaben!$G$3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89" operator="greaterThanOrEqual" id="{F16D4C24-0406-4A90-B882-5168AF39C661}">
            <xm:f>Eingaben!$F$3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90" operator="lessThanOrEqual" id="{10CD1346-0377-459A-9FC9-143FB50C2E00}">
            <xm:f>Eingaben!$E$3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91" operator="greaterThanOrEqual" id="{2E991C09-04B8-4FC1-ACAE-C7C0A93B5F4A}">
            <xm:f>Eingaben!$D$3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92" operator="between" id="{1F56A8CD-6204-4312-91F3-0CF833B1717E}">
            <xm:f>Eingaben!$D$3</xm:f>
            <xm:f>Eingaben!$E$3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X58</xm:sqref>
        </x14:conditionalFormatting>
        <x14:conditionalFormatting xmlns:xm="http://schemas.microsoft.com/office/excel/2006/main">
          <x14:cfRule type="cellIs" priority="83" operator="lessThanOrEqual" id="{A27E7F17-E1D3-4BD7-B080-4C4CC00A849F}">
            <xm:f>Eingaben!$G$4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84" operator="greaterThanOrEqual" id="{4007D4A6-D6FF-4D10-BCF3-80225B823DCA}">
            <xm:f>Eingaben!$F$4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85" operator="lessThanOrEqual" id="{D6AFACF5-6F08-4806-BB1F-60E645E18A62}">
            <xm:f>Eingaben!$E$4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86" operator="greaterThanOrEqual" id="{9E4FE782-5EA5-41B8-A9DA-9184678EE55E}">
            <xm:f>Eingaben!$D$4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87" operator="between" id="{66B78FCA-57A0-4C8E-A806-CDA05B0D074C}">
            <xm:f>Eingaben!$D$4</xm:f>
            <xm:f>Eingaben!$E$4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X59:X60</xm:sqref>
        </x14:conditionalFormatting>
        <x14:conditionalFormatting xmlns:xm="http://schemas.microsoft.com/office/excel/2006/main">
          <x14:cfRule type="cellIs" priority="77" operator="between" id="{21C78181-C185-4D17-A054-0AF4842CEF3B}">
            <xm:f>Eingaben!$D$6</xm:f>
            <xm:f>Eingaben!$E$6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Y63</xm:sqref>
        </x14:conditionalFormatting>
        <x14:conditionalFormatting xmlns:xm="http://schemas.microsoft.com/office/excel/2006/main">
          <x14:cfRule type="cellIs" priority="68" operator="lessThanOrEqual" id="{D6BD86FE-2322-434E-A081-EFED38B915BB}">
            <xm:f>Eingaben!$G$6</xm:f>
            <x14:dxf>
              <font>
                <color rgb="FFFF0000"/>
              </font>
              <fill>
                <patternFill>
                  <bgColor rgb="FFFF9999"/>
                </patternFill>
              </fill>
            </x14:dxf>
          </x14:cfRule>
          <x14:cfRule type="cellIs" priority="69" operator="lessThanOrEqual" id="{0D85EAB8-D701-4A6C-88E6-1B1B5449358B}">
            <xm:f>Eingaben!$E$6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70" operator="greaterThanOrEqual" id="{16849D6F-4028-4C6B-AFB4-C89618FDAAC0}">
            <xm:f>Eingaben!$F$6</xm:f>
            <x14:dxf>
              <font>
                <color rgb="FFFF0000"/>
              </font>
              <fill>
                <patternFill>
                  <bgColor rgb="FFFF9999"/>
                </patternFill>
              </fill>
            </x14:dxf>
          </x14:cfRule>
          <x14:cfRule type="cellIs" priority="71" operator="greaterThanOrEqual" id="{FA4CDE16-39E8-4CEF-946B-EF8843810845}">
            <xm:f>Eingaben!$D$6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72" operator="between" id="{C49266BD-8C87-4109-83A8-7B067074487D}">
            <xm:f>Eingaben!$D$6</xm:f>
            <xm:f>Eingaben!$E$6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X61</xm:sqref>
        </x14:conditionalFormatting>
        <x14:conditionalFormatting xmlns:xm="http://schemas.microsoft.com/office/excel/2006/main">
          <x14:cfRule type="cellIs" priority="58" operator="lessThanOrEqual" id="{F250863B-87F3-4998-AA3A-7D0EC2F540E2}">
            <xm:f>Eingaben!$G$11</xm:f>
            <x14:dxf>
              <font>
                <color rgb="FFFF0000"/>
              </font>
              <fill>
                <patternFill>
                  <bgColor rgb="FFFF9999"/>
                </patternFill>
              </fill>
            </x14:dxf>
          </x14:cfRule>
          <x14:cfRule type="cellIs" priority="59" operator="lessThanOrEqual" id="{EF62593D-0DDF-4BB6-8922-2F4C5FE5C86D}">
            <xm:f>Eingaben!$E$11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60" operator="greaterThanOrEqual" id="{E646C836-BFE8-4529-9BBD-82AD0B059E26}">
            <xm:f>Eingaben!$F$11</xm:f>
            <x14:dxf>
              <font>
                <color rgb="FFFF0000"/>
              </font>
              <fill>
                <patternFill>
                  <bgColor rgb="FFFF9999"/>
                </patternFill>
              </fill>
            </x14:dxf>
          </x14:cfRule>
          <x14:cfRule type="cellIs" priority="61" operator="greaterThanOrEqual" id="{BA4EC4E5-524D-404E-9560-C41AABAE74B8}">
            <xm:f>Eingaben!$D$11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62" operator="between" id="{64576716-2CAA-4890-B520-4E7870971757}">
            <xm:f>Eingaben!$D$11</xm:f>
            <xm:f>Eingaben!$E$11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X65</xm:sqref>
        </x14:conditionalFormatting>
        <x14:conditionalFormatting xmlns:xm="http://schemas.microsoft.com/office/excel/2006/main">
          <x14:cfRule type="cellIs" priority="47" operator="greaterThanOrEqual" id="{99765F49-58A5-4907-9F5E-01CC1DF616B1}">
            <xm:f>Eingaben!$F$12</xm:f>
            <x14:dxf>
              <font>
                <color rgb="FFFF0000"/>
              </font>
              <fill>
                <patternFill>
                  <bgColor rgb="FFFF9999"/>
                </patternFill>
              </fill>
            </x14:dxf>
          </x14:cfRule>
          <x14:cfRule type="cellIs" priority="48" operator="lessThanOrEqual" id="{8CC42679-62EE-4728-94C2-FFC7E94ECBE5}">
            <xm:f>Eingaben!$G$12</xm:f>
            <x14:dxf>
              <font>
                <color rgb="FFFF0000"/>
              </font>
              <fill>
                <patternFill>
                  <bgColor rgb="FFFF9999"/>
                </patternFill>
              </fill>
            </x14:dxf>
          </x14:cfRule>
          <x14:cfRule type="cellIs" priority="49" operator="greaterThanOrEqual" id="{0FB2B4D1-BFFA-4A53-8F41-7C0460C800B3}">
            <xm:f>Eingaben!$D$12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50" operator="lessThanOrEqual" id="{F99A5D11-0B7F-4095-89C2-277A6DDBB2C9}">
            <xm:f>Eingaben!$E$12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51" operator="between" id="{DAFD1208-1616-4984-8B76-7F315A53C473}">
            <xm:f>Eingaben!$D$12</xm:f>
            <xm:f>Eingaben!$E$12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X66</xm:sqref>
        </x14:conditionalFormatting>
        <x14:conditionalFormatting xmlns:xm="http://schemas.microsoft.com/office/excel/2006/main">
          <x14:cfRule type="cellIs" priority="6" operator="lessThanOrEqual" id="{00812C83-92CE-4A71-BB7A-756B0D70774B}">
            <xm:f>Eingaben!$G$4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7" operator="greaterThanOrEqual" id="{8DA563AC-E2C3-4AD8-8ABE-7773524726D5}">
            <xm:f>Eingaben!$F$4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8" operator="lessThanOrEqual" id="{0EE18F04-28CC-4B55-9F5B-BEEE2E638A40}">
            <xm:f>Eingaben!$E$4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9" operator="greaterThanOrEqual" id="{17323E01-339D-4119-9E93-A564EF92869A}">
            <xm:f>Eingaben!$D$4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10" operator="between" id="{8526B8E2-D99D-4B0A-B37C-AC46C99C012A}">
            <xm:f>Eingaben!$D$4</xm:f>
            <xm:f>Eingaben!$E$4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X62</xm:sqref>
        </x14:conditionalFormatting>
        <x14:conditionalFormatting xmlns:xm="http://schemas.microsoft.com/office/excel/2006/main">
          <x14:cfRule type="cellIs" priority="1" operator="lessThanOrEqual" id="{6048566C-987F-4EE4-85CC-BFB7F1B6A3DC}">
            <xm:f>Eingaben!$G$4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2" operator="greaterThanOrEqual" id="{636F1ECB-E8DA-4AB9-9DD4-FCA7B9E3B1F9}">
            <xm:f>Eingaben!$F$4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3" operator="lessThanOrEqual" id="{A7315571-DEF1-4039-BD51-7468E9665486}">
            <xm:f>Eingaben!$E$4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4" operator="greaterThanOrEqual" id="{13C00478-F25A-46DF-A2F4-CDE0215EDE76}">
            <xm:f>Eingaben!$D$4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5" operator="between" id="{07982808-C3BE-4709-B608-D9D0EBAF330C}">
            <xm:f>Eingaben!$D$4</xm:f>
            <xm:f>Eingaben!$E$4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X67:X70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5583966-894F-42FF-A8CC-85AE367DB805}">
          <x14:formula1>
            <xm:f>Eingaben!$B$3:$B$7</xm:f>
          </x14:formula1>
          <xm:sqref>T57</xm:sqref>
        </x14:dataValidation>
        <x14:dataValidation type="list" allowBlank="1" showInputMessage="1" showErrorMessage="1" xr:uid="{7152055A-E223-4264-B24E-D4E3D32D7E2A}">
          <x14:formula1>
            <xm:f>Eingaben!$B$11:$B$16</xm:f>
          </x14:formula1>
          <xm:sqref>T64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13E80-215D-4EEF-9602-6C98F92E297E}">
  <sheetPr codeName="Tabelle2"/>
  <dimension ref="A1:L102"/>
  <sheetViews>
    <sheetView zoomScale="85" zoomScaleNormal="85" workbookViewId="0">
      <selection activeCell="J6" sqref="J6"/>
    </sheetView>
  </sheetViews>
  <sheetFormatPr baseColWidth="10" defaultColWidth="11.42578125" defaultRowHeight="15" x14ac:dyDescent="0.25"/>
  <cols>
    <col min="3" max="3" width="54.42578125" bestFit="1" customWidth="1"/>
    <col min="4" max="4" width="15.5703125" bestFit="1" customWidth="1"/>
    <col min="7" max="7" width="33.5703125" customWidth="1"/>
    <col min="8" max="8" width="3" bestFit="1" customWidth="1"/>
    <col min="9" max="9" width="9" bestFit="1" customWidth="1"/>
    <col min="10" max="10" width="54.42578125" bestFit="1" customWidth="1"/>
    <col min="11" max="11" width="12" customWidth="1"/>
    <col min="12" max="12" width="3" bestFit="1" customWidth="1"/>
  </cols>
  <sheetData>
    <row r="1" spans="1:12" x14ac:dyDescent="0.25">
      <c r="H1" s="7"/>
      <c r="I1" s="7"/>
      <c r="J1" s="7"/>
      <c r="K1" s="7"/>
      <c r="L1" s="7"/>
    </row>
    <row r="2" spans="1:12" x14ac:dyDescent="0.25">
      <c r="H2" s="7"/>
      <c r="I2" s="7"/>
      <c r="J2" s="7"/>
      <c r="K2" s="7"/>
      <c r="L2" s="7"/>
    </row>
    <row r="3" spans="1:12" x14ac:dyDescent="0.25">
      <c r="H3" s="7"/>
      <c r="I3" s="7"/>
      <c r="J3" s="7"/>
      <c r="K3" s="7"/>
      <c r="L3" s="7"/>
    </row>
    <row r="4" spans="1:12" x14ac:dyDescent="0.25">
      <c r="F4" s="13"/>
      <c r="H4" s="7"/>
      <c r="I4" s="7"/>
      <c r="J4" s="7"/>
      <c r="K4" s="7"/>
      <c r="L4" s="7"/>
    </row>
    <row r="5" spans="1:12" ht="15.75" thickBot="1" x14ac:dyDescent="0.3">
      <c r="A5" s="5" t="s">
        <v>123</v>
      </c>
      <c r="B5" s="5" t="s">
        <v>10</v>
      </c>
      <c r="C5" s="5" t="s">
        <v>124</v>
      </c>
      <c r="D5" s="5" t="s">
        <v>125</v>
      </c>
      <c r="E5" s="5" t="s">
        <v>126</v>
      </c>
      <c r="F5" s="13"/>
      <c r="H5" s="8"/>
      <c r="I5" s="8" t="s">
        <v>10</v>
      </c>
      <c r="J5" s="8" t="s">
        <v>120</v>
      </c>
      <c r="K5" s="8" t="s">
        <v>127</v>
      </c>
      <c r="L5" s="8"/>
    </row>
    <row r="6" spans="1:12" ht="15.75" thickBot="1" x14ac:dyDescent="0.3">
      <c r="A6" t="s">
        <v>19</v>
      </c>
      <c r="C6" t="s">
        <v>170</v>
      </c>
      <c r="D6" s="13">
        <v>0</v>
      </c>
      <c r="E6" s="13">
        <v>2840515.5241489406</v>
      </c>
      <c r="F6" s="13"/>
      <c r="H6" s="9">
        <v>1</v>
      </c>
      <c r="I6" s="10"/>
      <c r="J6" s="81" t="s">
        <v>151</v>
      </c>
      <c r="K6" s="84">
        <v>100</v>
      </c>
      <c r="L6" s="9">
        <v>1</v>
      </c>
    </row>
    <row r="7" spans="1:12" ht="16.5" thickTop="1" thickBot="1" x14ac:dyDescent="0.3">
      <c r="A7" t="s">
        <v>22</v>
      </c>
      <c r="C7" t="s">
        <v>152</v>
      </c>
      <c r="D7" s="13">
        <v>55825067306.518661</v>
      </c>
      <c r="E7" s="13">
        <v>48136801132.202209</v>
      </c>
      <c r="F7" s="13"/>
      <c r="H7" s="9">
        <v>2</v>
      </c>
      <c r="I7" s="10"/>
      <c r="J7" s="82" t="s">
        <v>152</v>
      </c>
      <c r="K7" s="85" t="s">
        <v>163</v>
      </c>
      <c r="L7" s="9">
        <v>2</v>
      </c>
    </row>
    <row r="8" spans="1:12" ht="15.75" thickBot="1" x14ac:dyDescent="0.3">
      <c r="A8" t="s">
        <v>25</v>
      </c>
      <c r="C8" t="s">
        <v>153</v>
      </c>
      <c r="D8" s="13">
        <v>139838912963.86725</v>
      </c>
      <c r="E8" s="13">
        <v>199629959106.4455</v>
      </c>
      <c r="F8" s="13"/>
      <c r="H8" s="9">
        <v>3</v>
      </c>
      <c r="I8" s="10"/>
      <c r="J8" s="82" t="s">
        <v>153</v>
      </c>
      <c r="K8" s="86">
        <v>50000</v>
      </c>
      <c r="L8" s="9">
        <v>3</v>
      </c>
    </row>
    <row r="9" spans="1:12" ht="15.75" thickBot="1" x14ac:dyDescent="0.3">
      <c r="A9" t="s">
        <v>28</v>
      </c>
      <c r="C9" t="s">
        <v>154</v>
      </c>
      <c r="D9" s="13">
        <v>431259727478.02747</v>
      </c>
      <c r="E9" s="13">
        <v>631845188140.87</v>
      </c>
      <c r="F9" s="13"/>
      <c r="H9" s="9">
        <v>4</v>
      </c>
      <c r="I9" s="10"/>
      <c r="J9" s="60" t="s">
        <v>154</v>
      </c>
      <c r="K9" s="86">
        <v>500000</v>
      </c>
      <c r="L9" s="9">
        <v>4</v>
      </c>
    </row>
    <row r="10" spans="1:12" ht="15.75" thickBot="1" x14ac:dyDescent="0.3">
      <c r="A10" t="s">
        <v>31</v>
      </c>
      <c r="C10">
        <v>2.12</v>
      </c>
      <c r="D10" s="13">
        <v>0</v>
      </c>
      <c r="E10" s="13">
        <v>123050358.146429</v>
      </c>
      <c r="F10" s="13"/>
      <c r="H10" s="9">
        <v>5</v>
      </c>
      <c r="I10" s="10"/>
      <c r="J10" s="90" t="s">
        <v>164</v>
      </c>
      <c r="K10" s="86">
        <v>50000</v>
      </c>
      <c r="L10" s="9">
        <v>5</v>
      </c>
    </row>
    <row r="11" spans="1:12" ht="15.75" thickBot="1" x14ac:dyDescent="0.3">
      <c r="A11" t="s">
        <v>34</v>
      </c>
      <c r="C11">
        <v>2.19</v>
      </c>
      <c r="D11" s="13">
        <v>444708232879.63873</v>
      </c>
      <c r="E11" s="13">
        <v>647004661560.05737</v>
      </c>
      <c r="F11" s="13"/>
      <c r="H11" s="9">
        <v>6</v>
      </c>
      <c r="I11" s="10"/>
      <c r="J11" s="90" t="s">
        <v>165</v>
      </c>
      <c r="K11" s="86">
        <v>500000</v>
      </c>
      <c r="L11" s="9">
        <v>6</v>
      </c>
    </row>
    <row r="12" spans="1:12" ht="15.75" thickBot="1" x14ac:dyDescent="0.3">
      <c r="A12" t="s">
        <v>37</v>
      </c>
      <c r="C12" t="s">
        <v>155</v>
      </c>
      <c r="D12" s="13">
        <v>425055522918.70099</v>
      </c>
      <c r="E12" s="13">
        <v>620649795532.22754</v>
      </c>
      <c r="F12" s="13"/>
      <c r="H12" s="9">
        <v>7</v>
      </c>
      <c r="I12" s="10"/>
      <c r="J12" s="60" t="s">
        <v>155</v>
      </c>
      <c r="K12" s="86">
        <v>500000</v>
      </c>
      <c r="L12" s="9">
        <v>7</v>
      </c>
    </row>
    <row r="13" spans="1:12" ht="15.75" thickBot="1" x14ac:dyDescent="0.3">
      <c r="A13" t="s">
        <v>40</v>
      </c>
      <c r="C13" t="s">
        <v>156</v>
      </c>
      <c r="D13" s="13">
        <v>2395161361694.335</v>
      </c>
      <c r="E13" s="13">
        <v>3476680145263.6729</v>
      </c>
      <c r="F13" s="13"/>
      <c r="H13" s="9">
        <v>8</v>
      </c>
      <c r="I13" s="10"/>
      <c r="J13" s="60" t="s">
        <v>156</v>
      </c>
      <c r="K13" s="86">
        <v>500000</v>
      </c>
      <c r="L13" s="9">
        <v>8</v>
      </c>
    </row>
    <row r="14" spans="1:12" ht="15.75" thickBot="1" x14ac:dyDescent="0.3">
      <c r="A14" t="s">
        <v>43</v>
      </c>
      <c r="C14" t="s">
        <v>157</v>
      </c>
      <c r="D14" s="13">
        <v>408961811065.67401</v>
      </c>
      <c r="E14" s="13">
        <v>607928009033.20239</v>
      </c>
      <c r="F14" s="13"/>
      <c r="H14" s="9">
        <v>9</v>
      </c>
      <c r="I14" s="10"/>
      <c r="J14" s="60" t="s">
        <v>157</v>
      </c>
      <c r="K14" s="86">
        <v>500000</v>
      </c>
      <c r="L14" s="9">
        <v>9</v>
      </c>
    </row>
    <row r="15" spans="1:12" ht="15.75" thickBot="1" x14ac:dyDescent="0.3">
      <c r="A15" t="s">
        <v>46</v>
      </c>
      <c r="C15" t="s">
        <v>158</v>
      </c>
      <c r="D15" s="13">
        <v>2527445373535.1553</v>
      </c>
      <c r="E15" s="13">
        <v>3688557891845.7051</v>
      </c>
      <c r="F15" s="13"/>
      <c r="H15" s="9">
        <v>10</v>
      </c>
      <c r="I15" s="10"/>
      <c r="J15" s="60" t="s">
        <v>158</v>
      </c>
      <c r="K15" s="86">
        <v>500000</v>
      </c>
      <c r="L15" s="9">
        <v>10</v>
      </c>
    </row>
    <row r="16" spans="1:12" ht="15.75" thickBot="1" x14ac:dyDescent="0.3">
      <c r="A16" t="s">
        <v>49</v>
      </c>
      <c r="C16" t="s">
        <v>159</v>
      </c>
      <c r="D16" s="13">
        <v>451180419921.875</v>
      </c>
      <c r="E16" s="13">
        <v>661476211547.85254</v>
      </c>
      <c r="F16" s="13"/>
      <c r="H16" s="9">
        <v>11</v>
      </c>
      <c r="I16" s="10"/>
      <c r="J16" s="60" t="s">
        <v>159</v>
      </c>
      <c r="K16" s="86">
        <v>500000</v>
      </c>
      <c r="L16" s="9">
        <v>11</v>
      </c>
    </row>
    <row r="17" spans="1:12" ht="15.75" thickBot="1" x14ac:dyDescent="0.3">
      <c r="A17" t="s">
        <v>52</v>
      </c>
      <c r="C17">
        <v>5.4</v>
      </c>
      <c r="D17" s="13">
        <v>455439929962.1582</v>
      </c>
      <c r="E17" s="13">
        <v>662530632019.0426</v>
      </c>
      <c r="F17" s="13"/>
      <c r="H17" s="9">
        <v>12</v>
      </c>
      <c r="I17" s="10"/>
      <c r="J17" s="91" t="s">
        <v>166</v>
      </c>
      <c r="K17" s="86">
        <v>500000</v>
      </c>
      <c r="L17" s="9">
        <v>12</v>
      </c>
    </row>
    <row r="18" spans="1:12" ht="15.75" thickBot="1" x14ac:dyDescent="0.3">
      <c r="A18" t="s">
        <v>55</v>
      </c>
      <c r="C18">
        <v>5.41</v>
      </c>
      <c r="D18" s="13">
        <v>2240100936889.6475</v>
      </c>
      <c r="E18" s="13">
        <v>3261547241210.9399</v>
      </c>
      <c r="F18" s="13"/>
      <c r="H18" s="9">
        <v>13</v>
      </c>
      <c r="I18" s="10"/>
      <c r="J18" s="89" t="s">
        <v>167</v>
      </c>
      <c r="K18" s="86">
        <v>500000</v>
      </c>
      <c r="L18" s="9">
        <v>13</v>
      </c>
    </row>
    <row r="19" spans="1:12" ht="15.75" thickBot="1" x14ac:dyDescent="0.3">
      <c r="A19" t="s">
        <v>58</v>
      </c>
      <c r="C19">
        <v>5.42</v>
      </c>
      <c r="D19" s="13">
        <v>427586708068.84778</v>
      </c>
      <c r="E19" s="13">
        <v>626569976806.63989</v>
      </c>
      <c r="F19" s="13"/>
      <c r="H19" s="9">
        <v>14</v>
      </c>
      <c r="I19" s="10"/>
      <c r="J19" s="91" t="s">
        <v>168</v>
      </c>
      <c r="K19" s="86">
        <v>500000</v>
      </c>
      <c r="L19" s="9">
        <v>14</v>
      </c>
    </row>
    <row r="20" spans="1:12" ht="15.75" thickBot="1" x14ac:dyDescent="0.3">
      <c r="A20" t="s">
        <v>61</v>
      </c>
      <c r="C20">
        <v>5.43</v>
      </c>
      <c r="D20" s="13">
        <v>2255838241577.1475</v>
      </c>
      <c r="E20" s="13">
        <v>3303358764648.4375</v>
      </c>
      <c r="F20" s="13"/>
      <c r="H20" s="9">
        <v>15</v>
      </c>
      <c r="I20" s="10"/>
      <c r="J20" s="89" t="s">
        <v>169</v>
      </c>
      <c r="K20" s="86">
        <v>500000</v>
      </c>
      <c r="L20" s="9">
        <v>15</v>
      </c>
    </row>
    <row r="21" spans="1:12" ht="15.75" thickBot="1" x14ac:dyDescent="0.3">
      <c r="A21" t="s">
        <v>64</v>
      </c>
      <c r="C21" t="s">
        <v>160</v>
      </c>
      <c r="D21" s="13">
        <v>10948009490966.801</v>
      </c>
      <c r="E21" s="13">
        <v>15511183166503.926</v>
      </c>
      <c r="F21" s="13"/>
      <c r="H21" s="9">
        <v>16</v>
      </c>
      <c r="I21" s="10"/>
      <c r="J21" s="60" t="s">
        <v>160</v>
      </c>
      <c r="K21" s="86">
        <v>5000000</v>
      </c>
      <c r="L21" s="9">
        <v>16</v>
      </c>
    </row>
    <row r="22" spans="1:12" ht="15.75" thickBot="1" x14ac:dyDescent="0.3">
      <c r="A22" t="s">
        <v>67</v>
      </c>
      <c r="C22" t="s">
        <v>161</v>
      </c>
      <c r="D22" s="13">
        <v>10008462524414.051</v>
      </c>
      <c r="E22" s="13">
        <v>14354499053955.102</v>
      </c>
      <c r="F22" s="13"/>
      <c r="H22" s="9">
        <v>17</v>
      </c>
      <c r="I22" s="10"/>
      <c r="J22" s="60" t="s">
        <v>161</v>
      </c>
      <c r="K22" s="86">
        <v>5000000</v>
      </c>
      <c r="L22" s="9">
        <v>17</v>
      </c>
    </row>
    <row r="23" spans="1:12" ht="15.75" thickBot="1" x14ac:dyDescent="0.3">
      <c r="A23" t="s">
        <v>70</v>
      </c>
      <c r="C23" t="s">
        <v>162</v>
      </c>
      <c r="D23" s="13">
        <v>17089098.244905472</v>
      </c>
      <c r="E23" s="13">
        <v>163186056.3457011</v>
      </c>
      <c r="F23" s="13"/>
      <c r="H23" s="9">
        <v>18</v>
      </c>
      <c r="I23" s="10"/>
      <c r="J23" s="82" t="s">
        <v>162</v>
      </c>
      <c r="K23" s="85" t="s">
        <v>163</v>
      </c>
      <c r="L23" s="9">
        <v>18</v>
      </c>
    </row>
    <row r="24" spans="1:12" ht="15.75" thickBot="1" x14ac:dyDescent="0.3">
      <c r="A24" t="s">
        <v>73</v>
      </c>
      <c r="C24" t="s">
        <v>152</v>
      </c>
      <c r="D24" s="13">
        <v>58617141433.715714</v>
      </c>
      <c r="E24" s="13">
        <v>50043990753.173851</v>
      </c>
      <c r="F24" s="13"/>
      <c r="H24" s="9">
        <v>19</v>
      </c>
      <c r="I24" s="10"/>
      <c r="J24" s="83" t="s">
        <v>152</v>
      </c>
      <c r="K24" s="88" t="s">
        <v>163</v>
      </c>
      <c r="L24" s="9">
        <v>19</v>
      </c>
    </row>
    <row r="25" spans="1:12" ht="15.75" thickBot="1" x14ac:dyDescent="0.3">
      <c r="A25" t="s">
        <v>76</v>
      </c>
      <c r="C25" t="s">
        <v>153</v>
      </c>
      <c r="D25" s="13">
        <v>135137321472.168</v>
      </c>
      <c r="E25" s="13">
        <v>194118179321.28925</v>
      </c>
      <c r="F25" s="13"/>
      <c r="H25" s="9">
        <v>20</v>
      </c>
      <c r="I25" s="10"/>
      <c r="J25" s="83" t="s">
        <v>153</v>
      </c>
      <c r="K25" s="87">
        <v>50000</v>
      </c>
      <c r="L25" s="9">
        <v>20</v>
      </c>
    </row>
    <row r="26" spans="1:12" ht="15.75" thickBot="1" x14ac:dyDescent="0.3">
      <c r="A26" t="s">
        <v>79</v>
      </c>
      <c r="C26" t="s">
        <v>153</v>
      </c>
      <c r="D26" s="13">
        <v>135834144592.28525</v>
      </c>
      <c r="E26" s="13">
        <v>194309806823.73047</v>
      </c>
      <c r="F26" s="13"/>
      <c r="H26" s="9">
        <v>21</v>
      </c>
      <c r="I26" s="10"/>
      <c r="J26" s="83" t="s">
        <v>153</v>
      </c>
      <c r="K26" s="87">
        <v>50000</v>
      </c>
      <c r="L26" s="9">
        <v>21</v>
      </c>
    </row>
    <row r="27" spans="1:12" ht="15.75" thickBot="1" x14ac:dyDescent="0.3">
      <c r="A27" t="s">
        <v>82</v>
      </c>
      <c r="C27" t="s">
        <v>170</v>
      </c>
      <c r="D27" s="13">
        <v>85258.997976779996</v>
      </c>
      <c r="E27" s="13">
        <v>398201.10797882103</v>
      </c>
      <c r="F27" s="13"/>
      <c r="H27" s="9">
        <v>22</v>
      </c>
      <c r="I27" s="10"/>
      <c r="J27" s="81" t="s">
        <v>151</v>
      </c>
      <c r="K27" s="84">
        <v>100</v>
      </c>
      <c r="L27" s="9">
        <v>22</v>
      </c>
    </row>
    <row r="28" spans="1:12" ht="16.5" thickTop="1" thickBot="1" x14ac:dyDescent="0.3">
      <c r="A28" t="s">
        <v>84</v>
      </c>
      <c r="D28" s="13"/>
      <c r="E28" s="13"/>
      <c r="F28" s="13"/>
      <c r="H28" s="9">
        <v>23</v>
      </c>
      <c r="I28" s="10"/>
      <c r="J28" s="82"/>
      <c r="K28" s="85"/>
      <c r="L28" s="9">
        <v>23</v>
      </c>
    </row>
    <row r="29" spans="1:12" ht="15.75" thickBot="1" x14ac:dyDescent="0.3">
      <c r="A29" t="s">
        <v>85</v>
      </c>
      <c r="D29" s="13"/>
      <c r="E29" s="13"/>
      <c r="F29" s="13"/>
      <c r="H29" s="9">
        <v>24</v>
      </c>
      <c r="I29" s="10"/>
      <c r="J29" s="78"/>
      <c r="K29" s="62"/>
      <c r="L29" s="9">
        <v>24</v>
      </c>
    </row>
    <row r="30" spans="1:12" ht="15.75" thickBot="1" x14ac:dyDescent="0.3">
      <c r="A30" t="s">
        <v>86</v>
      </c>
      <c r="D30" s="13"/>
      <c r="E30" s="13" t="s">
        <v>110</v>
      </c>
      <c r="F30" s="13"/>
      <c r="H30" s="9">
        <v>25</v>
      </c>
      <c r="I30" s="10"/>
      <c r="J30" s="78"/>
      <c r="K30" s="62"/>
      <c r="L30" s="9">
        <v>25</v>
      </c>
    </row>
    <row r="31" spans="1:12" ht="15.75" thickBot="1" x14ac:dyDescent="0.3">
      <c r="A31" t="s">
        <v>87</v>
      </c>
      <c r="D31" s="13"/>
      <c r="E31" s="13" t="s">
        <v>116</v>
      </c>
      <c r="F31" s="13"/>
      <c r="H31" s="9">
        <v>26</v>
      </c>
      <c r="I31" s="10"/>
      <c r="J31" s="78"/>
      <c r="K31" s="62"/>
      <c r="L31" s="9">
        <v>26</v>
      </c>
    </row>
    <row r="32" spans="1:12" ht="15.75" thickBot="1" x14ac:dyDescent="0.3">
      <c r="A32" t="s">
        <v>88</v>
      </c>
      <c r="D32" s="13"/>
      <c r="E32" s="13" t="s">
        <v>119</v>
      </c>
      <c r="F32" s="13"/>
      <c r="H32" s="9">
        <v>27</v>
      </c>
      <c r="I32" s="10"/>
      <c r="J32" s="78"/>
      <c r="K32" s="62"/>
      <c r="L32" s="9">
        <v>27</v>
      </c>
    </row>
    <row r="33" spans="1:12" ht="15.75" thickBot="1" x14ac:dyDescent="0.3">
      <c r="A33" t="s">
        <v>89</v>
      </c>
      <c r="D33" s="13"/>
      <c r="E33" s="13" t="s">
        <v>10</v>
      </c>
      <c r="F33" s="13"/>
      <c r="H33" s="9">
        <v>28</v>
      </c>
      <c r="I33" s="10"/>
      <c r="J33" s="78"/>
      <c r="K33" s="62"/>
      <c r="L33" s="9">
        <v>28</v>
      </c>
    </row>
    <row r="34" spans="1:12" ht="15.75" thickBot="1" x14ac:dyDescent="0.3">
      <c r="A34" t="s">
        <v>90</v>
      </c>
      <c r="D34" s="13"/>
      <c r="E34" s="13" t="s">
        <v>122</v>
      </c>
      <c r="F34" s="13"/>
      <c r="H34" s="9">
        <v>29</v>
      </c>
      <c r="I34" s="10"/>
      <c r="J34" s="78"/>
      <c r="K34" s="62"/>
      <c r="L34" s="9">
        <v>29</v>
      </c>
    </row>
    <row r="35" spans="1:12" ht="15.75" thickBot="1" x14ac:dyDescent="0.3">
      <c r="A35" t="s">
        <v>91</v>
      </c>
      <c r="D35" s="13"/>
      <c r="E35" s="13" t="s">
        <v>121</v>
      </c>
      <c r="F35" s="13"/>
      <c r="H35" s="9">
        <v>30</v>
      </c>
      <c r="I35" s="10"/>
      <c r="J35" s="78"/>
      <c r="K35" s="62"/>
      <c r="L35" s="9">
        <v>30</v>
      </c>
    </row>
    <row r="36" spans="1:12" ht="15.75" thickBot="1" x14ac:dyDescent="0.3">
      <c r="A36" t="s">
        <v>92</v>
      </c>
      <c r="D36" s="13"/>
      <c r="E36" s="13" t="s">
        <v>119</v>
      </c>
      <c r="F36" s="13"/>
      <c r="H36" s="9">
        <v>31</v>
      </c>
      <c r="I36" s="10"/>
      <c r="J36" s="78"/>
      <c r="K36" s="62"/>
      <c r="L36" s="9">
        <v>31</v>
      </c>
    </row>
    <row r="37" spans="1:12" ht="15.75" thickBot="1" x14ac:dyDescent="0.3">
      <c r="A37" t="s">
        <v>93</v>
      </c>
      <c r="D37" s="13"/>
      <c r="E37" s="13"/>
      <c r="F37" s="13"/>
      <c r="H37" s="9">
        <v>32</v>
      </c>
      <c r="I37" s="10"/>
      <c r="J37" s="78"/>
      <c r="K37" s="62"/>
      <c r="L37" s="9">
        <v>32</v>
      </c>
    </row>
    <row r="38" spans="1:12" ht="15.75" thickBot="1" x14ac:dyDescent="0.3">
      <c r="A38" t="s">
        <v>94</v>
      </c>
      <c r="D38" s="13"/>
      <c r="E38" s="13"/>
      <c r="F38" s="13"/>
      <c r="H38" s="9">
        <v>33</v>
      </c>
      <c r="I38" s="10"/>
      <c r="J38" s="78"/>
      <c r="K38" s="62"/>
      <c r="L38" s="9">
        <v>33</v>
      </c>
    </row>
    <row r="39" spans="1:12" ht="15.75" thickBot="1" x14ac:dyDescent="0.3">
      <c r="A39" t="s">
        <v>95</v>
      </c>
      <c r="D39" s="13"/>
      <c r="E39" s="13"/>
      <c r="F39" s="13"/>
      <c r="H39" s="9">
        <v>34</v>
      </c>
      <c r="I39" s="10"/>
      <c r="J39" s="77"/>
      <c r="K39" s="79"/>
      <c r="L39" s="9">
        <v>34</v>
      </c>
    </row>
    <row r="40" spans="1:12" ht="15.75" thickBot="1" x14ac:dyDescent="0.3">
      <c r="A40" t="s">
        <v>96</v>
      </c>
      <c r="D40" s="13"/>
      <c r="E40" s="13"/>
      <c r="F40" s="13"/>
      <c r="H40" s="9">
        <v>35</v>
      </c>
      <c r="I40" s="10"/>
      <c r="J40" s="77"/>
      <c r="K40" s="79"/>
      <c r="L40" s="9">
        <v>35</v>
      </c>
    </row>
    <row r="41" spans="1:12" ht="15.75" thickBot="1" x14ac:dyDescent="0.3">
      <c r="A41" t="s">
        <v>97</v>
      </c>
      <c r="D41" s="13"/>
      <c r="E41" s="13"/>
      <c r="F41" s="13"/>
      <c r="H41" s="9">
        <v>36</v>
      </c>
      <c r="I41" s="10"/>
      <c r="J41" s="60"/>
      <c r="K41" s="62"/>
      <c r="L41" s="9">
        <v>36</v>
      </c>
    </row>
    <row r="42" spans="1:12" ht="15.75" thickBot="1" x14ac:dyDescent="0.3">
      <c r="A42" t="s">
        <v>98</v>
      </c>
      <c r="D42" s="13"/>
      <c r="E42" s="13"/>
      <c r="F42" s="13"/>
      <c r="H42" s="9">
        <v>37</v>
      </c>
      <c r="I42" s="10"/>
      <c r="J42" s="60"/>
      <c r="K42" s="62"/>
      <c r="L42" s="9">
        <v>37</v>
      </c>
    </row>
    <row r="43" spans="1:12" ht="15.75" thickBot="1" x14ac:dyDescent="0.3">
      <c r="A43" t="s">
        <v>99</v>
      </c>
      <c r="D43" s="13"/>
      <c r="E43" s="13"/>
      <c r="F43" s="13"/>
      <c r="H43" s="9">
        <v>38</v>
      </c>
      <c r="I43" s="10"/>
      <c r="J43" s="60"/>
      <c r="K43" s="62"/>
      <c r="L43" s="9">
        <v>38</v>
      </c>
    </row>
    <row r="44" spans="1:12" ht="15.75" thickBot="1" x14ac:dyDescent="0.3">
      <c r="A44" t="s">
        <v>100</v>
      </c>
      <c r="D44" s="13"/>
      <c r="E44" s="13"/>
      <c r="F44" s="13"/>
      <c r="H44" s="9">
        <v>39</v>
      </c>
      <c r="I44" s="10"/>
      <c r="J44" s="60"/>
      <c r="K44" s="62"/>
      <c r="L44" s="9">
        <v>39</v>
      </c>
    </row>
    <row r="45" spans="1:12" ht="15.75" thickBot="1" x14ac:dyDescent="0.3">
      <c r="A45" t="s">
        <v>101</v>
      </c>
      <c r="D45" s="13"/>
      <c r="E45" s="13"/>
      <c r="F45" s="13"/>
      <c r="H45" s="9">
        <v>40</v>
      </c>
      <c r="I45" s="10"/>
      <c r="J45" s="60"/>
      <c r="K45" s="62"/>
      <c r="L45" s="9">
        <v>40</v>
      </c>
    </row>
    <row r="46" spans="1:12" ht="15.75" thickBot="1" x14ac:dyDescent="0.3">
      <c r="A46" t="s">
        <v>102</v>
      </c>
      <c r="D46" s="13"/>
      <c r="E46" s="13"/>
      <c r="F46" s="13"/>
      <c r="H46" s="9">
        <v>41</v>
      </c>
      <c r="I46" s="10"/>
      <c r="J46" s="61"/>
      <c r="K46" s="63"/>
      <c r="L46" s="9">
        <v>41</v>
      </c>
    </row>
    <row r="47" spans="1:12" ht="15.75" thickBot="1" x14ac:dyDescent="0.3">
      <c r="A47" t="s">
        <v>103</v>
      </c>
      <c r="D47" s="13"/>
      <c r="E47" s="13"/>
      <c r="F47" s="13"/>
      <c r="H47" s="9">
        <v>42</v>
      </c>
      <c r="I47" s="10"/>
      <c r="J47" s="60"/>
      <c r="K47" s="62"/>
      <c r="L47" s="9">
        <v>42</v>
      </c>
    </row>
    <row r="48" spans="1:12" ht="15.75" thickBot="1" x14ac:dyDescent="0.3">
      <c r="A48" t="s">
        <v>104</v>
      </c>
      <c r="D48" s="13"/>
      <c r="E48" s="13"/>
      <c r="F48" s="13"/>
      <c r="H48" s="9">
        <v>43</v>
      </c>
      <c r="I48" s="10"/>
      <c r="J48" s="77"/>
      <c r="K48" s="79"/>
      <c r="L48" s="9">
        <v>43</v>
      </c>
    </row>
    <row r="49" spans="1:12" ht="15.75" thickBot="1" x14ac:dyDescent="0.3">
      <c r="A49" t="s">
        <v>105</v>
      </c>
      <c r="D49" s="13"/>
      <c r="E49" s="13"/>
      <c r="F49" s="13"/>
      <c r="H49" s="9">
        <v>44</v>
      </c>
      <c r="I49" s="10"/>
      <c r="J49" s="77"/>
      <c r="K49" s="79"/>
      <c r="L49" s="9">
        <v>44</v>
      </c>
    </row>
    <row r="50" spans="1:12" ht="15.75" thickBot="1" x14ac:dyDescent="0.3">
      <c r="A50" t="s">
        <v>106</v>
      </c>
      <c r="D50" s="13"/>
      <c r="E50" s="13"/>
      <c r="F50" s="13"/>
      <c r="H50" s="9">
        <v>45</v>
      </c>
      <c r="I50" s="10"/>
      <c r="J50" s="77"/>
      <c r="K50" s="79"/>
      <c r="L50" s="9">
        <v>45</v>
      </c>
    </row>
    <row r="51" spans="1:12" ht="15.75" thickBot="1" x14ac:dyDescent="0.3">
      <c r="A51" t="s">
        <v>107</v>
      </c>
      <c r="D51" s="13"/>
      <c r="E51" s="13"/>
      <c r="F51" s="13"/>
      <c r="H51" s="9">
        <v>46</v>
      </c>
      <c r="I51" s="10"/>
      <c r="J51" s="77"/>
      <c r="K51" s="79"/>
      <c r="L51" s="9">
        <v>46</v>
      </c>
    </row>
    <row r="52" spans="1:12" ht="15.75" thickBot="1" x14ac:dyDescent="0.3">
      <c r="A52" t="s">
        <v>108</v>
      </c>
      <c r="D52" s="13"/>
      <c r="E52" s="13"/>
      <c r="F52" s="13"/>
      <c r="H52" s="9">
        <v>47</v>
      </c>
      <c r="I52" s="10"/>
      <c r="J52" s="60"/>
      <c r="K52" s="62"/>
      <c r="L52" s="9">
        <v>47</v>
      </c>
    </row>
    <row r="53" spans="1:12" ht="15.75" thickBot="1" x14ac:dyDescent="0.3">
      <c r="A53" t="s">
        <v>109</v>
      </c>
      <c r="D53" s="13"/>
      <c r="E53" s="13"/>
      <c r="F53" s="13"/>
      <c r="H53" s="9">
        <v>48</v>
      </c>
      <c r="I53" s="10"/>
      <c r="J53" s="60"/>
      <c r="K53" s="62"/>
      <c r="L53" s="9">
        <v>48</v>
      </c>
    </row>
    <row r="54" spans="1:12" x14ac:dyDescent="0.25">
      <c r="F54" s="13"/>
      <c r="H54" s="9"/>
      <c r="I54" s="9"/>
      <c r="J54" s="9"/>
      <c r="K54" s="9"/>
      <c r="L54" s="9"/>
    </row>
    <row r="55" spans="1:12" x14ac:dyDescent="0.25">
      <c r="A55" s="6"/>
      <c r="B55" s="6"/>
      <c r="C55" s="6"/>
      <c r="D55" s="6"/>
      <c r="E55" s="6"/>
      <c r="F55" s="13"/>
    </row>
    <row r="56" spans="1:12" x14ac:dyDescent="0.25">
      <c r="A56" s="6"/>
      <c r="B56" s="6"/>
      <c r="C56" s="6"/>
      <c r="D56" s="6"/>
      <c r="E56" s="6"/>
      <c r="F56" s="13"/>
    </row>
    <row r="57" spans="1:12" x14ac:dyDescent="0.25">
      <c r="A57" s="6"/>
      <c r="B57" s="6"/>
      <c r="C57" s="6"/>
      <c r="D57" s="6"/>
      <c r="E57" s="6"/>
      <c r="F57" s="13"/>
    </row>
    <row r="58" spans="1:12" x14ac:dyDescent="0.25">
      <c r="A58" s="6"/>
      <c r="B58" s="6"/>
      <c r="C58" s="6"/>
      <c r="D58" s="6"/>
      <c r="E58" s="6"/>
      <c r="F58" s="6"/>
    </row>
    <row r="59" spans="1:12" x14ac:dyDescent="0.25">
      <c r="A59" s="6"/>
      <c r="B59" s="6"/>
      <c r="C59" s="6"/>
      <c r="D59" s="6"/>
      <c r="E59" s="6"/>
      <c r="F59" s="6"/>
    </row>
    <row r="60" spans="1:12" x14ac:dyDescent="0.25">
      <c r="A60" s="6"/>
      <c r="B60" s="6"/>
      <c r="C60" s="6"/>
      <c r="D60" s="6"/>
      <c r="E60" s="6"/>
      <c r="F60" s="6"/>
    </row>
    <row r="61" spans="1:12" x14ac:dyDescent="0.25">
      <c r="A61" s="6"/>
      <c r="B61" s="6"/>
      <c r="C61" s="6"/>
      <c r="D61" s="6"/>
      <c r="E61" s="6"/>
      <c r="F61" s="6"/>
    </row>
    <row r="62" spans="1:12" x14ac:dyDescent="0.25">
      <c r="A62" s="6"/>
      <c r="B62" s="6"/>
      <c r="C62" s="6"/>
      <c r="D62" s="6"/>
      <c r="E62" s="6"/>
      <c r="F62" s="6"/>
    </row>
    <row r="63" spans="1:12" x14ac:dyDescent="0.25">
      <c r="A63" s="6"/>
      <c r="B63" s="6"/>
      <c r="C63" s="6"/>
      <c r="D63" s="6"/>
      <c r="E63" s="6"/>
      <c r="F63" s="6"/>
    </row>
    <row r="64" spans="1:12" x14ac:dyDescent="0.25">
      <c r="A64" s="6"/>
      <c r="B64" s="6"/>
      <c r="C64" s="6"/>
      <c r="D64" s="6"/>
      <c r="E64" s="6"/>
      <c r="F64" s="6"/>
    </row>
    <row r="65" spans="1:6" x14ac:dyDescent="0.25">
      <c r="A65" s="6"/>
      <c r="B65" s="6"/>
      <c r="C65" s="6"/>
      <c r="D65" s="6"/>
      <c r="E65" s="6"/>
      <c r="F65" s="6"/>
    </row>
    <row r="66" spans="1:6" x14ac:dyDescent="0.25">
      <c r="A66" s="6"/>
      <c r="B66" s="6"/>
      <c r="C66" s="6"/>
      <c r="D66" s="6"/>
      <c r="E66" s="6"/>
      <c r="F66" s="6"/>
    </row>
    <row r="67" spans="1:6" x14ac:dyDescent="0.25">
      <c r="A67" s="6"/>
      <c r="B67" s="6"/>
      <c r="C67" s="6"/>
      <c r="D67" s="6"/>
      <c r="E67" s="6"/>
      <c r="F67" s="13"/>
    </row>
    <row r="68" spans="1:6" x14ac:dyDescent="0.25">
      <c r="A68" s="6"/>
      <c r="B68" s="6"/>
      <c r="C68" s="6"/>
      <c r="D68" s="6"/>
      <c r="E68" s="6"/>
      <c r="F68" s="13"/>
    </row>
    <row r="69" spans="1:6" x14ac:dyDescent="0.25">
      <c r="A69" s="6"/>
      <c r="B69" s="6"/>
      <c r="C69" s="6"/>
      <c r="D69" s="6"/>
      <c r="E69" s="6"/>
      <c r="F69" s="13"/>
    </row>
    <row r="70" spans="1:6" x14ac:dyDescent="0.25">
      <c r="A70" s="6"/>
      <c r="B70" s="6"/>
      <c r="C70" s="6"/>
      <c r="D70" s="6"/>
      <c r="E70" s="6"/>
      <c r="F70" s="13"/>
    </row>
    <row r="71" spans="1:6" x14ac:dyDescent="0.25">
      <c r="A71" s="6"/>
      <c r="B71" s="6"/>
      <c r="C71" s="6"/>
      <c r="D71" s="6"/>
      <c r="E71" s="6"/>
      <c r="F71" s="13"/>
    </row>
    <row r="72" spans="1:6" x14ac:dyDescent="0.25">
      <c r="A72" s="6"/>
      <c r="B72" s="6"/>
      <c r="C72" s="6"/>
      <c r="D72" s="6"/>
      <c r="E72" s="6"/>
      <c r="F72" s="13"/>
    </row>
    <row r="73" spans="1:6" x14ac:dyDescent="0.25">
      <c r="A73" s="6"/>
      <c r="B73" s="6"/>
      <c r="C73" s="6"/>
      <c r="D73" s="6"/>
      <c r="E73" s="6"/>
      <c r="F73" s="13"/>
    </row>
    <row r="74" spans="1:6" x14ac:dyDescent="0.25">
      <c r="A74" s="6"/>
      <c r="B74" s="6"/>
      <c r="C74" s="6"/>
      <c r="D74" s="6"/>
      <c r="E74" s="6"/>
      <c r="F74" s="13"/>
    </row>
    <row r="75" spans="1:6" x14ac:dyDescent="0.25">
      <c r="A75" s="6"/>
      <c r="B75" s="6"/>
      <c r="C75" s="6"/>
      <c r="D75" s="6"/>
      <c r="E75" s="6"/>
      <c r="F75" s="13"/>
    </row>
    <row r="76" spans="1:6" x14ac:dyDescent="0.25">
      <c r="A76" s="6"/>
      <c r="B76" s="6"/>
      <c r="C76" s="6"/>
      <c r="D76" s="6"/>
      <c r="E76" s="6"/>
      <c r="F76" s="13"/>
    </row>
    <row r="77" spans="1:6" x14ac:dyDescent="0.25">
      <c r="A77" s="6"/>
      <c r="B77" s="6"/>
      <c r="C77" s="6"/>
      <c r="D77" s="6"/>
      <c r="E77" s="6"/>
      <c r="F77" s="13"/>
    </row>
    <row r="78" spans="1:6" x14ac:dyDescent="0.25">
      <c r="A78" s="6"/>
      <c r="B78" s="6"/>
      <c r="C78" s="6"/>
      <c r="D78" s="6"/>
      <c r="E78" s="6"/>
      <c r="F78" s="13"/>
    </row>
    <row r="79" spans="1:6" x14ac:dyDescent="0.25">
      <c r="A79" s="6"/>
      <c r="B79" s="6"/>
      <c r="C79" s="6"/>
      <c r="D79" s="6"/>
      <c r="E79" s="6"/>
      <c r="F79" s="13"/>
    </row>
    <row r="80" spans="1:6" x14ac:dyDescent="0.25">
      <c r="A80" s="6"/>
      <c r="B80" s="6"/>
      <c r="C80" s="6"/>
      <c r="D80" s="6"/>
      <c r="E80" s="6"/>
    </row>
    <row r="81" spans="1:5" x14ac:dyDescent="0.25">
      <c r="A81" s="6"/>
      <c r="B81" s="6"/>
      <c r="C81" s="6"/>
      <c r="D81" s="6"/>
      <c r="E81" s="6"/>
    </row>
    <row r="82" spans="1:5" x14ac:dyDescent="0.25">
      <c r="A82" s="6"/>
      <c r="B82" s="6"/>
      <c r="C82" s="6"/>
      <c r="D82" s="6"/>
      <c r="E82" s="6"/>
    </row>
    <row r="83" spans="1:5" x14ac:dyDescent="0.25">
      <c r="A83" s="6"/>
      <c r="B83" s="6"/>
      <c r="C83" s="6"/>
      <c r="D83" s="6"/>
      <c r="E83" s="6"/>
    </row>
    <row r="84" spans="1:5" x14ac:dyDescent="0.25">
      <c r="A84" s="6"/>
      <c r="B84" s="6"/>
      <c r="C84" s="6"/>
      <c r="D84" s="6"/>
      <c r="E84" s="6"/>
    </row>
    <row r="85" spans="1:5" x14ac:dyDescent="0.25">
      <c r="A85" s="6"/>
      <c r="B85" s="6"/>
      <c r="C85" s="6"/>
      <c r="D85" s="6"/>
      <c r="E85" s="6"/>
    </row>
    <row r="86" spans="1:5" x14ac:dyDescent="0.25">
      <c r="A86" s="6"/>
      <c r="B86" s="6"/>
      <c r="C86" s="6"/>
      <c r="D86" s="6"/>
      <c r="E86" s="6"/>
    </row>
    <row r="87" spans="1:5" x14ac:dyDescent="0.25">
      <c r="A87" s="6"/>
      <c r="B87" s="6"/>
      <c r="C87" s="6"/>
      <c r="D87" s="6"/>
      <c r="E87" s="6"/>
    </row>
    <row r="88" spans="1:5" x14ac:dyDescent="0.25">
      <c r="A88" s="6"/>
      <c r="B88" s="6"/>
      <c r="C88" s="6"/>
      <c r="D88" s="6"/>
      <c r="E88" s="6"/>
    </row>
    <row r="89" spans="1:5" x14ac:dyDescent="0.25">
      <c r="A89" s="6"/>
      <c r="B89" s="6"/>
      <c r="C89" s="6"/>
      <c r="D89" s="6"/>
      <c r="E89" s="6"/>
    </row>
    <row r="90" spans="1:5" x14ac:dyDescent="0.25">
      <c r="A90" s="6"/>
      <c r="B90" s="6"/>
      <c r="C90" s="6"/>
      <c r="D90" s="6"/>
      <c r="E90" s="6"/>
    </row>
    <row r="91" spans="1:5" x14ac:dyDescent="0.25">
      <c r="A91" s="6"/>
      <c r="B91" s="6"/>
      <c r="C91" s="6"/>
      <c r="D91" s="6"/>
      <c r="E91" s="6"/>
    </row>
    <row r="92" spans="1:5" x14ac:dyDescent="0.25">
      <c r="A92" s="6"/>
      <c r="B92" s="6"/>
      <c r="C92" s="6"/>
      <c r="D92" s="6"/>
      <c r="E92" s="6"/>
    </row>
    <row r="93" spans="1:5" x14ac:dyDescent="0.25">
      <c r="A93" s="6"/>
      <c r="B93" s="6"/>
      <c r="C93" s="6"/>
      <c r="D93" s="6"/>
      <c r="E93" s="6"/>
    </row>
    <row r="94" spans="1:5" x14ac:dyDescent="0.25">
      <c r="A94" s="6"/>
      <c r="B94" s="6"/>
      <c r="C94" s="6"/>
      <c r="D94" s="6"/>
      <c r="E94" s="6"/>
    </row>
    <row r="95" spans="1:5" x14ac:dyDescent="0.25">
      <c r="A95" s="6"/>
      <c r="B95" s="6"/>
      <c r="C95" s="6"/>
      <c r="D95" s="6"/>
      <c r="E95" s="6"/>
    </row>
    <row r="96" spans="1:5" x14ac:dyDescent="0.25">
      <c r="A96" s="6"/>
      <c r="B96" s="6"/>
      <c r="C96" s="6"/>
      <c r="D96" s="6"/>
      <c r="E96" s="6"/>
    </row>
    <row r="97" spans="1:5" x14ac:dyDescent="0.25">
      <c r="A97" s="6"/>
      <c r="B97" s="6"/>
      <c r="C97" s="6"/>
      <c r="D97" s="6"/>
      <c r="E97" s="6"/>
    </row>
    <row r="98" spans="1:5" x14ac:dyDescent="0.25">
      <c r="A98" s="6"/>
      <c r="B98" s="6"/>
      <c r="C98" s="6"/>
      <c r="D98" s="6"/>
      <c r="E98" s="6"/>
    </row>
    <row r="99" spans="1:5" x14ac:dyDescent="0.25">
      <c r="A99" s="6"/>
      <c r="B99" s="6"/>
      <c r="C99" s="6"/>
      <c r="D99" s="6"/>
      <c r="E99" s="6"/>
    </row>
    <row r="100" spans="1:5" x14ac:dyDescent="0.25">
      <c r="A100" s="6"/>
      <c r="B100" s="6"/>
      <c r="C100" s="6"/>
      <c r="D100" s="6"/>
      <c r="E100" s="6"/>
    </row>
    <row r="101" spans="1:5" x14ac:dyDescent="0.25">
      <c r="A101" s="6"/>
      <c r="B101" s="6"/>
      <c r="C101" s="6"/>
      <c r="D101" s="6"/>
      <c r="E101" s="6"/>
    </row>
    <row r="102" spans="1:5" x14ac:dyDescent="0.25">
      <c r="A102" s="6"/>
      <c r="B102" s="6"/>
      <c r="C102" s="6"/>
      <c r="D102" s="6"/>
      <c r="E102" s="6"/>
    </row>
  </sheetData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26BEF9-7697-4730-BAF9-A40B0980B0B2}">
          <x14:formula1>
            <xm:f>Eingaben!$B$3:$B$7</xm:f>
          </x14:formula1>
          <xm:sqref>I6:I53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4A69C-B58F-4B2C-96B9-56DAC5AB75E0}">
  <sheetPr codeName="Tabelle4"/>
  <dimension ref="A2:G16"/>
  <sheetViews>
    <sheetView workbookViewId="0">
      <selection activeCell="B29" sqref="B29"/>
    </sheetView>
  </sheetViews>
  <sheetFormatPr baseColWidth="10" defaultColWidth="11.42578125" defaultRowHeight="15" x14ac:dyDescent="0.25"/>
  <cols>
    <col min="3" max="3" width="14.7109375" bestFit="1" customWidth="1"/>
  </cols>
  <sheetData>
    <row r="2" spans="1:7" x14ac:dyDescent="0.25">
      <c r="A2" s="169" t="s">
        <v>128</v>
      </c>
      <c r="B2" s="28" t="s">
        <v>10</v>
      </c>
      <c r="C2" s="29" t="s">
        <v>115</v>
      </c>
      <c r="D2" s="3" t="s">
        <v>113</v>
      </c>
      <c r="E2" s="3" t="s">
        <v>117</v>
      </c>
      <c r="F2" s="3" t="s">
        <v>129</v>
      </c>
      <c r="G2" s="3" t="s">
        <v>118</v>
      </c>
    </row>
    <row r="3" spans="1:7" x14ac:dyDescent="0.25">
      <c r="A3" s="170"/>
      <c r="B3" s="3" t="s">
        <v>110</v>
      </c>
      <c r="C3" s="13">
        <v>62000000000</v>
      </c>
      <c r="D3" s="11">
        <v>75600000000</v>
      </c>
      <c r="E3" s="11">
        <v>48400000000</v>
      </c>
      <c r="F3" s="11">
        <v>82400000000</v>
      </c>
      <c r="G3" s="11">
        <v>41600000000</v>
      </c>
    </row>
    <row r="4" spans="1:7" x14ac:dyDescent="0.25">
      <c r="A4" s="170"/>
      <c r="B4" s="3" t="s">
        <v>114</v>
      </c>
      <c r="C4" s="30">
        <v>20400000000</v>
      </c>
      <c r="D4" s="11">
        <v>31200000000</v>
      </c>
      <c r="E4" s="11">
        <v>9660000000</v>
      </c>
      <c r="F4" s="11">
        <v>36600000000</v>
      </c>
      <c r="G4" s="11">
        <v>4270000000</v>
      </c>
    </row>
    <row r="5" spans="1:7" x14ac:dyDescent="0.25">
      <c r="A5" s="170"/>
      <c r="B5" s="3" t="s">
        <v>116</v>
      </c>
      <c r="C5" s="30">
        <v>192000000000</v>
      </c>
      <c r="D5" s="11">
        <v>233000000000</v>
      </c>
      <c r="E5" s="11">
        <v>151000000000</v>
      </c>
      <c r="F5" s="11">
        <v>254000000000</v>
      </c>
      <c r="G5" s="11">
        <v>131000000000</v>
      </c>
    </row>
    <row r="6" spans="1:7" x14ac:dyDescent="0.25">
      <c r="A6" s="170"/>
      <c r="B6" s="3" t="s">
        <v>111</v>
      </c>
      <c r="C6" s="30">
        <v>59400000000</v>
      </c>
      <c r="D6" s="11">
        <v>73000000000</v>
      </c>
      <c r="E6" s="11">
        <v>45900000000</v>
      </c>
      <c r="F6" s="11">
        <v>79700000000</v>
      </c>
      <c r="G6" s="11">
        <v>39100000000</v>
      </c>
    </row>
    <row r="7" spans="1:7" x14ac:dyDescent="0.25">
      <c r="A7" s="170"/>
      <c r="B7" s="3" t="s">
        <v>119</v>
      </c>
      <c r="C7" s="30">
        <v>93200000000</v>
      </c>
      <c r="D7" s="11">
        <v>141000000000</v>
      </c>
      <c r="E7" s="11">
        <v>45800000000</v>
      </c>
      <c r="F7" s="11">
        <v>164000000000</v>
      </c>
      <c r="G7" s="11">
        <v>22000000000</v>
      </c>
    </row>
    <row r="10" spans="1:7" ht="14.45" customHeight="1" x14ac:dyDescent="0.25">
      <c r="A10" s="171" t="s">
        <v>130</v>
      </c>
      <c r="B10" s="28" t="s">
        <v>10</v>
      </c>
      <c r="C10" s="29" t="s">
        <v>115</v>
      </c>
      <c r="D10" s="3" t="s">
        <v>113</v>
      </c>
      <c r="E10" s="3" t="s">
        <v>117</v>
      </c>
      <c r="F10" s="3" t="s">
        <v>129</v>
      </c>
      <c r="G10" s="3" t="s">
        <v>118</v>
      </c>
    </row>
    <row r="11" spans="1:7" x14ac:dyDescent="0.25">
      <c r="A11" s="172"/>
      <c r="B11" s="3" t="s">
        <v>110</v>
      </c>
      <c r="C11" s="13">
        <v>132000000000</v>
      </c>
      <c r="D11" s="11">
        <v>171000000000</v>
      </c>
      <c r="E11" s="11">
        <v>92000000000</v>
      </c>
      <c r="F11" s="11">
        <v>191000000000</v>
      </c>
      <c r="G11" s="11">
        <v>72300000000</v>
      </c>
    </row>
    <row r="12" spans="1:7" x14ac:dyDescent="0.25">
      <c r="A12" s="172"/>
      <c r="B12" s="3" t="s">
        <v>122</v>
      </c>
      <c r="C12" s="30">
        <v>187000000000</v>
      </c>
      <c r="D12" s="11">
        <v>230000000000</v>
      </c>
      <c r="E12" s="11">
        <v>144000000000</v>
      </c>
      <c r="F12" s="11">
        <v>251000000000</v>
      </c>
      <c r="G12" s="11">
        <v>123000000000</v>
      </c>
    </row>
    <row r="13" spans="1:7" x14ac:dyDescent="0.25">
      <c r="A13" s="172"/>
      <c r="B13" s="3" t="s">
        <v>114</v>
      </c>
      <c r="C13" s="30">
        <v>903000000000</v>
      </c>
      <c r="D13" s="11">
        <v>1140000000000</v>
      </c>
      <c r="E13" s="11">
        <v>670000000000</v>
      </c>
      <c r="F13" s="11">
        <v>1250000000000</v>
      </c>
      <c r="G13" s="11">
        <v>553000000000</v>
      </c>
    </row>
    <row r="14" spans="1:7" x14ac:dyDescent="0.25">
      <c r="A14" s="172"/>
      <c r="B14" s="3" t="s">
        <v>121</v>
      </c>
      <c r="C14" s="30">
        <v>517000000000</v>
      </c>
      <c r="D14" s="11">
        <v>603000000000</v>
      </c>
      <c r="E14" s="11">
        <v>430000000000</v>
      </c>
      <c r="F14" s="11">
        <v>647000000000</v>
      </c>
      <c r="G14" s="11">
        <v>387000000000</v>
      </c>
    </row>
    <row r="15" spans="1:7" x14ac:dyDescent="0.25">
      <c r="A15" s="172"/>
      <c r="B15" s="3" t="s">
        <v>116</v>
      </c>
      <c r="C15" s="30">
        <v>191000000000</v>
      </c>
      <c r="D15" s="11">
        <v>227000000000</v>
      </c>
      <c r="E15" s="11">
        <v>155000000000</v>
      </c>
      <c r="F15" s="11">
        <v>245000000000</v>
      </c>
      <c r="G15" s="11">
        <v>137000000000</v>
      </c>
    </row>
    <row r="16" spans="1:7" x14ac:dyDescent="0.25">
      <c r="A16" s="172"/>
      <c r="B16" s="3" t="s">
        <v>119</v>
      </c>
      <c r="C16" s="30">
        <v>172000000000</v>
      </c>
      <c r="D16" s="11">
        <v>224000000000</v>
      </c>
      <c r="E16" s="11">
        <v>121000000000</v>
      </c>
      <c r="F16" s="11">
        <v>249000000000</v>
      </c>
      <c r="G16" s="11">
        <v>95100000000</v>
      </c>
    </row>
  </sheetData>
  <mergeCells count="2">
    <mergeCell ref="A2:A7"/>
    <mergeCell ref="A10:A16"/>
  </mergeCells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84C2EE474C35F48B865DF9900F74084" ma:contentTypeVersion="17" ma:contentTypeDescription="Ein neues Dokument erstellen." ma:contentTypeScope="" ma:versionID="e9174623dcc847fce5f29f0f66749e40">
  <xsd:schema xmlns:xsd="http://www.w3.org/2001/XMLSchema" xmlns:xs="http://www.w3.org/2001/XMLSchema" xmlns:p="http://schemas.microsoft.com/office/2006/metadata/properties" xmlns:ns2="43eceba5-342d-4e2b-b16c-2e0c0a7ea191" xmlns:ns3="78e07020-97b7-48f0-a541-71452353e71f" targetNamespace="http://schemas.microsoft.com/office/2006/metadata/properties" ma:root="true" ma:fieldsID="ecd94c355b52f4e969096b06066a49aa" ns2:_="" ns3:_="">
    <xsd:import namespace="43eceba5-342d-4e2b-b16c-2e0c0a7ea191"/>
    <xsd:import namespace="78e07020-97b7-48f0-a541-71452353e71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eceba5-342d-4e2b-b16c-2e0c0a7ea1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1749a35e-9b4c-41a3-9e24-d57cd2885fd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e07020-97b7-48f0-a541-71452353e71f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e3cb93fa-8f34-4efc-95e2-7d6de2d764a4}" ma:internalName="TaxCatchAll" ma:showField="CatchAllData" ma:web="78e07020-97b7-48f0-a541-71452353e71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8e07020-97b7-48f0-a541-71452353e71f" xsi:nil="true"/>
    <lcf76f155ced4ddcb4097134ff3c332f xmlns="43eceba5-342d-4e2b-b16c-2e0c0a7ea19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098599A-C2BB-4B4B-8C16-800C9BDE676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eceba5-342d-4e2b-b16c-2e0c0a7ea191"/>
    <ds:schemaRef ds:uri="78e07020-97b7-48f0-a541-71452353e7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610D0FB-8658-4061-B2E1-BAF9AA2231A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BEF1904-6D96-4421-8475-7DE9F629CE13}">
  <ds:schemaRefs>
    <ds:schemaRef ds:uri="http://schemas.microsoft.com/office/2006/metadata/properties"/>
    <ds:schemaRef ds:uri="http://schemas.microsoft.com/office/infopath/2007/PartnerControls"/>
    <ds:schemaRef ds:uri="78e07020-97b7-48f0-a541-71452353e71f"/>
    <ds:schemaRef ds:uri="43eceba5-342d-4e2b-b16c-2e0c0a7ea1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Auswertung</vt:lpstr>
      <vt:lpstr>Daten für DFM</vt:lpstr>
      <vt:lpstr>Eingaben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Benold, Jacqueline</dc:creator>
  <cp:keywords/>
  <dc:description/>
  <cp:lastModifiedBy>Knofl, Fabian</cp:lastModifiedBy>
  <cp:revision/>
  <cp:lastPrinted>2023-09-06T07:58:20Z</cp:lastPrinted>
  <dcterms:created xsi:type="dcterms:W3CDTF">2019-11-29T10:15:20Z</dcterms:created>
  <dcterms:modified xsi:type="dcterms:W3CDTF">2023-09-27T07:58:04Z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0x010100884C2EE474C35F48B865DF9900F74084</vt:lpwstr>
  </property>
  <property fmtid="{D5CDD505-2E9C-101B-9397-08002B2CF9AE}" pid="3" name="MediaServiceImageTags">
    <vt:lpwstr/>
  </property>
</Properties>
</file>